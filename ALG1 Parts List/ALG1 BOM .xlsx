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M" sheetId="1" r:id="rId5"/>
    <sheet state="visible" name="Tools" sheetId="2" r:id="rId6"/>
  </sheets>
  <definedNames/>
  <calcPr/>
</workbook>
</file>

<file path=xl/sharedStrings.xml><?xml version="1.0" encoding="utf-8"?>
<sst xmlns="http://schemas.openxmlformats.org/spreadsheetml/2006/main" count="566" uniqueCount="278">
  <si>
    <t>Part Name</t>
  </si>
  <si>
    <t>Category</t>
  </si>
  <si>
    <t>Requirement</t>
  </si>
  <si>
    <t>Quantity</t>
  </si>
  <si>
    <t>Package Style</t>
  </si>
  <si>
    <t>Cost</t>
  </si>
  <si>
    <t>Net Cost</t>
  </si>
  <si>
    <t>Source</t>
  </si>
  <si>
    <t>Link</t>
  </si>
  <si>
    <t>Part Number</t>
  </si>
  <si>
    <t>Clear Epoxy</t>
  </si>
  <si>
    <t>Adhesive</t>
  </si>
  <si>
    <t>Required</t>
  </si>
  <si>
    <t>Single</t>
  </si>
  <si>
    <t>Amazon</t>
  </si>
  <si>
    <t>https://www.amazon.com/J-B-Weld-50114-ClearWeld-Setting/dp/B07D1NX76J/ref=sr_1_4?crid=CW6LLDYUCMKQ&amp;dib=eyJ2IjoiMSJ9.9qYnyqxP_GDB1LnGl1xzS-555KvbHbpa7Yb4OQ6zBXwtodeO_-0IPlsLzLcfyN1v8y2KRZIEG3vT8fN0qiA4-zUVeY-1XIndW9U9y6MLsEdc4zp0Cdp3LlSH-9IsRAg4WqQatZjoAfHo34ajT5BIDFlxIxnnri3dX3S7ytvBWsoviLg6pu3_I4FfVhmDFwQSmkZzNLWFZIgnhOQgMVXJoZGIrBCZshsQOuDuhYL7GpA.F9mQDYlU7vfN96yL_potnX55jQvsN74_yHHYeupijXQ&amp;dib_tag=se&amp;keywords=epoxy%2Bclear%2Bsyringe&amp;qid=1764880979&amp;sprefix=epoxy%2Bclear%2Bsyring%2Caps%2C145&amp;sr=8-4&amp;th=1</t>
  </si>
  <si>
    <t>B07D1NX76J</t>
  </si>
  <si>
    <t xml:space="preserve">Power Cord 120V AC </t>
  </si>
  <si>
    <t>Cable</t>
  </si>
  <si>
    <t>https://www.amazon.com/dp/B06XRKMYKR?ref=ppx_yo2ov_dt_b_fed_asin_title&amp;th=1</t>
  </si>
  <si>
    <t>B06XRKMYKR</t>
  </si>
  <si>
    <t>Micro USB Cable 6ft</t>
  </si>
  <si>
    <t>Batch</t>
  </si>
  <si>
    <t>https://www.amazon.com/dp/B098DW7485?ref=ppx_yo2ov_dt_b_fed_asin_title&amp;th=1</t>
  </si>
  <si>
    <t>B098DW7485</t>
  </si>
  <si>
    <t>18 AWG Wire</t>
  </si>
  <si>
    <t>Roll</t>
  </si>
  <si>
    <t>https://www.amazon.com/Electrical-60ft-Black-Copper-Clad-Appliances-Electronics/dp/B0FC6W4XXM/ref=sr_1_2_sspa?crid=C5GGYTVWZ8XW&amp;dib=eyJ2IjoiMSJ9.7LCcOO_0eV_jBUaOSfqQauPLVKuMjooE3Tq5c_0nLrnZZrQ0PRMg61xeCH6aY5W70oVgAZWl8GrOERmTVWzjvyrMXlyW-x8QCxASGymi9NSdr6obKufrYVKm6Jkg2N6tte_5T5J3Ug3Y4Al7ZzwPbZJ2BLHHKdqkvvE4jXo8-YWtd8OaO1TXfyW3uXtBn3POjJq4V4BRJFWR4noy8WANhv0z-nt7zDv6qgxgoe5bDDSvgy1n2FrwnS0MnM35644sNe4Lr7YeAfXzWVoSKSJIw5jX8WeE-aD-Zy4ntaM6XBE.QvN7YvpwAkZvLfT29ZoPfpUyAVdzxSZzSgaOm1FS8rw&amp;dib_tag=se&amp;keywords=18%2BAWg%2Bred%2Band%2Bblack%2Bwire%2Bsilicone&amp;qid=1764879911&amp;sprefix=18%2Bawg%2Bred%2Band%2Bblack%2Bwire%2Bsilicone%2Caps%2C144&amp;sr=8-2-spons&amp;sp_csd=d2lkZ2V0TmFtZT1zcF9hdGY&amp;th=1</t>
  </si>
  <si>
    <t xml:space="preserve">	B0FC6W4XXM</t>
  </si>
  <si>
    <t>28 AWG Wire</t>
  </si>
  <si>
    <t>https://www.amazon.com/dp/B089D5SNC2?ref_=ppx_hzsearch_conn_dt_b_fed_asin_title_43&amp;th=1</t>
  </si>
  <si>
    <t xml:space="preserve">	B089D5SNC2</t>
  </si>
  <si>
    <t>USB Male to Female Cable</t>
  </si>
  <si>
    <t>https://www.amazon.com/dp/B0F7X423RW?ref=ppx_yo2ov_dt_b_fed_asin_title&amp;th=1</t>
  </si>
  <si>
    <t>B0F7X423RW</t>
  </si>
  <si>
    <t>3M KCL Storage Solution for pH Sensor</t>
  </si>
  <si>
    <t>Chemical</t>
  </si>
  <si>
    <t>https://www.amazon.com/dp/B07NXTBD8D?ref=ppx_yo2ov_dt_b_fed_asin_title</t>
  </si>
  <si>
    <t>B07NXTBD8D</t>
  </si>
  <si>
    <t>pH Balancing Solution</t>
  </si>
  <si>
    <t>https://www.amazon.com/Atlas-Scientific-Down-250ml-8oz/dp/B00P1MQWK4/ref=sr_1_1_sspa?crid=9Y1YXSZJJY72&amp;dib=eyJ2IjoiMSJ9.t2iVs1HXyvR32IiYtrmZlEPkBoUQ8jcChhlk9H-4qErtc5l9HFFEhBzzytnD6I3nhLflcXg3PaVWm_i0M_mzB1y7Hb_JdX5PsnXAG25dWmPIiEeFdzap2GbOSUfZpbGvQ0SrtVz1qQcyIlP2kIlTkrp1UoAS_Gu48WlyU3qRHrLKqbdQ0o0pt87o2UdSj7m6jo5USuMo27gTlGGozroYULSm7jKlNp5Zyjabk76X_kU.V7koYOscN-g1t_SVUTkZMq2bu8psSDf9hUZcfZ4iCkE&amp;dib_tag=se&amp;keywords=ph+balancing+atlas+scientific&amp;qid=1764880141&amp;sprefix=ph+balancing+atlas+scientific%2Caps%2C117&amp;sr=8-1-spons&amp;sp_csd=d2lkZ2V0TmFtZT1zcF9hdGY&amp;psc=1</t>
  </si>
  <si>
    <t xml:space="preserve">	B00P1MQWK4</t>
  </si>
  <si>
    <t>BH1750 Light Sensor</t>
  </si>
  <si>
    <t>Electronics</t>
  </si>
  <si>
    <t>Adafruit</t>
  </si>
  <si>
    <t>https://www.adafruit.com/product/4681</t>
  </si>
  <si>
    <t>Product ID: 4681</t>
  </si>
  <si>
    <t>1 Wire to I2C Board</t>
  </si>
  <si>
    <t>https://www.adafruit.com/product/5976</t>
  </si>
  <si>
    <t>Product ID: 5976</t>
  </si>
  <si>
    <t>pH Sensor</t>
  </si>
  <si>
    <t>DFRobot</t>
  </si>
  <si>
    <t>https://www.dfrobot.com/product-2069.html</t>
  </si>
  <si>
    <t>SKU: SEN0169-V2</t>
  </si>
  <si>
    <t>Temperature Sensor</t>
  </si>
  <si>
    <t>https://www.amazon.com/dp/B00M1PM55K?ref_=ppx_hzsearch_conn_dt_b_fed_asin_title_1</t>
  </si>
  <si>
    <t>B00M1PM55K</t>
  </si>
  <si>
    <t xml:space="preserve">Power Supply 24V/12V/5V </t>
  </si>
  <si>
    <t>https://www.amazon.com/dp/B07X1LBK19?ref=ppx_yo2ov_dt_b_fed_asin_title&amp;th=1</t>
  </si>
  <si>
    <t>B07X1LBK19</t>
  </si>
  <si>
    <t>Linear Stepper Assembly</t>
  </si>
  <si>
    <t>https://www.amazon.com/dp/B07K7FQ245?ref_=ppx_hzsearch_conn_dt_b_fed_asin_title_2&amp;th=1</t>
  </si>
  <si>
    <t>B07K7FQ245</t>
  </si>
  <si>
    <t>Rotary Stepper Motor Nema 17 42mm x 40mm</t>
  </si>
  <si>
    <t>https://www.amazon.com/dp/B00PNEQI7W?ref=ppx_yo2ov_dt_b_fed_asin_title</t>
  </si>
  <si>
    <t>B00PNEQI7W</t>
  </si>
  <si>
    <t>TMC2209 Stepper Driver</t>
  </si>
  <si>
    <t>https://www.amazon.com/dp/B08SMDY3SQ?ref=ppx_yo2ov_dt_b_fed_asin_title&amp;th=1</t>
  </si>
  <si>
    <t>B08SMDY3SQ</t>
  </si>
  <si>
    <t>Dual Motor Controller</t>
  </si>
  <si>
    <t>https://www.amazon.com/dp/B0C5JCF5RS?ref_=ppx_hzsearch_conn_dt_b_fed_asin_title_5</t>
  </si>
  <si>
    <t>B0C5JCF5RS</t>
  </si>
  <si>
    <t>Arduino Nano Every</t>
  </si>
  <si>
    <t>amazon.com/dp/B07YQ56B6Q?ref_=ppx_hzsearch_conn_dt_b_fed_asin_title_7</t>
  </si>
  <si>
    <t xml:space="preserve">	B07YQ56B6Q</t>
  </si>
  <si>
    <t>Raspberry Pi 5</t>
  </si>
  <si>
    <t>https://www.amazon.com/dp/B0CK2FCG1K?ref=ppx_yo2ov_dt_b_fed_asin_title</t>
  </si>
  <si>
    <t>B0CK2FCG1K</t>
  </si>
  <si>
    <t>Peristaltic Pump Standard (4 pack)</t>
  </si>
  <si>
    <t>https://www.amazon.com/dp/B07Q1C3PW2?ref_=ppx_hzsearch_conn_dt_b_fed_asin_title_3&amp;th=1</t>
  </si>
  <si>
    <t xml:space="preserve">	B07Q1C3PW2</t>
  </si>
  <si>
    <t>Peristaltic Pump Standard (2 pack)</t>
  </si>
  <si>
    <t>https://www.amazon.com/dp/B0DC9TF1BS?ref_=ppx_hzsearch_conn_dt_b_fed_asin_title_3&amp;th=1</t>
  </si>
  <si>
    <t xml:space="preserve">	B0DC9TF1BS</t>
  </si>
  <si>
    <t>Peristaltic Pump High Flow</t>
  </si>
  <si>
    <t>https://www.amazon.com/dp/B0863TCH65?ref_=ppx_hzsearch_conn_dt_b_fed_asin_title_4</t>
  </si>
  <si>
    <t xml:space="preserve">	B0863TCH65</t>
  </si>
  <si>
    <t>Touchscreen Monitor 5"</t>
  </si>
  <si>
    <t>https://www.amazon.com/dp/B0CXTFN8K9?ref_=ppx_hzsearch_conn_dt_b_fed_asin_title_5&amp;th=1</t>
  </si>
  <si>
    <t xml:space="preserve">	B0CXTFN8K9</t>
  </si>
  <si>
    <t>Relay Module</t>
  </si>
  <si>
    <t>https://www.amazon.com/dp/B0F7WKZFCV?ref=ppx_yo2ov_dt_b_fed_asin_title&amp;th=1</t>
  </si>
  <si>
    <t>B0F7WKZFCV</t>
  </si>
  <si>
    <t>Mini DC Motor</t>
  </si>
  <si>
    <t>https://www.amazon.com/dp/B0D976V14T?ref_=ppx_hzsearch_conn_dt_b_fed_asin_title_13&amp;th=1</t>
  </si>
  <si>
    <t>B0D976V14T</t>
  </si>
  <si>
    <t>Power Distribution Bus</t>
  </si>
  <si>
    <t>https://www.amazon.com/dp/B0CCY9LTH7?ref_=ppx_hzsearch_conn_dt_b_fed_asin_title_7</t>
  </si>
  <si>
    <t xml:space="preserve">	B0CCY9LTH7</t>
  </si>
  <si>
    <t>Air Pump</t>
  </si>
  <si>
    <t>https://www.amazon.com/dp/B09RZMFL35?ref=ppx_yo2ov_dt_b_fed_asin_title&amp;th=1</t>
  </si>
  <si>
    <t>B09RZMFL35</t>
  </si>
  <si>
    <t>Flow Sensor</t>
  </si>
  <si>
    <t>https://www.amazon.com/dp/B07MY6XJKK?ref_=ppx_hzsearch_conn_dt_b_fed_asin_title_1&amp;th=1</t>
  </si>
  <si>
    <t xml:space="preserve">	‎B07MY6XJKK</t>
  </si>
  <si>
    <t>USB Removable Drive</t>
  </si>
  <si>
    <t>https://www.amazon.com/dp/B01LFV52T6?ref=ppx_yo2ov_dt_b_fed_asin_title</t>
  </si>
  <si>
    <t>B01LFV52T6</t>
  </si>
  <si>
    <t>Stepper Driver Carrier Board</t>
  </si>
  <si>
    <t>https://www.amazon.com/dp/B0DXP9MQZJ?ref_=ppx_hzsearch_conn_dt_b_fed_asin_title_4</t>
  </si>
  <si>
    <t>‎B0DXP9MQZJ</t>
  </si>
  <si>
    <t>Cable Sleeve</t>
  </si>
  <si>
    <t>Optional</t>
  </si>
  <si>
    <t>https://www.amazon.com/dp/B07FW5H57B?ref=ppx_yo2ov_dt_b_fed_asin_title&amp;th=1</t>
  </si>
  <si>
    <t xml:space="preserve">	B07FW5H57B</t>
  </si>
  <si>
    <t>12kg Servo 180 Degree</t>
  </si>
  <si>
    <t>https://www.amazon.com/dp/B088H5369M?ref=ppx_yo2ov_dt_b_fed_asin_title</t>
  </si>
  <si>
    <t>B088H5369M</t>
  </si>
  <si>
    <t>Heater Submersible</t>
  </si>
  <si>
    <t>https://www.amazon.com/dp/B0CB8HXQZR?ref=ppx_yo2ov_dt_b_fed_asin_title&amp;th=1</t>
  </si>
  <si>
    <t>B0CB8HXQZR</t>
  </si>
  <si>
    <t>Solenoid Valve (Drain)</t>
  </si>
  <si>
    <t>https://www.amazon.com/dp/B08NWZ2KH5?ref_=ppx_hzsearch_conn_dt_b_fed_asin_title_2</t>
  </si>
  <si>
    <t>B08NWZ2KH5</t>
  </si>
  <si>
    <t>Silicone Suction Cup with Ziptie</t>
  </si>
  <si>
    <t xml:space="preserve">Electronics </t>
  </si>
  <si>
    <t>https://www.amazon.com/dp/B0856WJMF4?ref=ppx_yo2ov_dt_b_fed_asin_title&amp;th=1</t>
  </si>
  <si>
    <t>B0856WJMF4</t>
  </si>
  <si>
    <t>Bambu Labs PLA Filament</t>
  </si>
  <si>
    <t>Filament</t>
  </si>
  <si>
    <t>https://us.store.bambulab.com/products/pla-basic-filament</t>
  </si>
  <si>
    <t>Jade White (10100)</t>
  </si>
  <si>
    <t>6.4 x 9.6mm Silicone Tubing 3.28ft</t>
  </si>
  <si>
    <t>Hardware</t>
  </si>
  <si>
    <t>https://www.amazon.com/dp/B0B54LZV5L?ref=ppx_yo2ov_dt_b_fed_asin_title&amp;th=1</t>
  </si>
  <si>
    <t>B0B54LZV5L</t>
  </si>
  <si>
    <t>Silicone Gasket Sheet 1/16</t>
  </si>
  <si>
    <t>https://www.amazon.com/dp/B0B5FM8FBV?ref=ppx_yo2ov_dt_b_fed_asin_title&amp;th=1</t>
  </si>
  <si>
    <t>B0B5FM8FBV</t>
  </si>
  <si>
    <t>Silicone Suction Cup 5mm</t>
  </si>
  <si>
    <t>https://www.amazon.com/dp/B0DY11NQ86?ref=ppx_yo2ov_dt_b_fed_asin_title</t>
  </si>
  <si>
    <t>B0DY11NQ86</t>
  </si>
  <si>
    <t>Micro Screw Set (1.6mm needed)</t>
  </si>
  <si>
    <t>https://www.amazon.com/dp/B07HLJ97J6?ref=ppx_yo2ov_dt_b_fed_asin_title</t>
  </si>
  <si>
    <t>B07HLJ97J6</t>
  </si>
  <si>
    <t>Pulley 3mm Bore 12mm OD</t>
  </si>
  <si>
    <t>https://www.amazon.com/dp/B0CTMQNJB4?ref_=ppx_hzsearch_conn_dt_b_fed_asin_title_1&amp;th=1</t>
  </si>
  <si>
    <t>B0CTMQNJB4</t>
  </si>
  <si>
    <t>1/8" ID x 3/16" OD 32.8ft Silicone Tubing</t>
  </si>
  <si>
    <t>https://www.amazon.com/dp/B08XLXJ9K8?ref=ppx_yo2ov_dt_b_fed_asin_title&amp;th=1</t>
  </si>
  <si>
    <t xml:space="preserve">	B08XLXJ9K8</t>
  </si>
  <si>
    <t>Silicone Tubing 1/4"</t>
  </si>
  <si>
    <t>https://www.amazon.com/dp/B07W5TGX8B?ref_=ppx_hzsearch_conn_dt_b_fed_asin_title_11&amp;th=1</t>
  </si>
  <si>
    <t xml:space="preserve">	B07W5TGX8B</t>
  </si>
  <si>
    <t xml:space="preserve">Round Belt 3mm </t>
  </si>
  <si>
    <t>amazon.com/dp/B0BM3S9ZG7?ref_=ppx_hzsearch_conn_dt_b_fed_asin_title_1</t>
  </si>
  <si>
    <t>B0BM3S9ZG7</t>
  </si>
  <si>
    <t>Neodymium Magnet</t>
  </si>
  <si>
    <t>https://www.amazon.com/dp/B0BJFBP3Y7?ref_=ppx_hzsearch_conn_dt_b_fed_asin_title_3</t>
  </si>
  <si>
    <t>B0BJFBP3Y7</t>
  </si>
  <si>
    <t>Ball Bearing 1/8 inch</t>
  </si>
  <si>
    <t>amazon.com/dp/B0DFCXKX14?ref_=ppx_hzsearch_conn_dt_b_fed_asin_title_2</t>
  </si>
  <si>
    <t>B0DFCXKX14</t>
  </si>
  <si>
    <t>Acrylic Cylinder 7 inch</t>
  </si>
  <si>
    <t>amazon.com/dp/B0B9FL2SNZ?ref_=ppx_hzsearch_conn_dt_b_fed_asin_title_5</t>
  </si>
  <si>
    <t>B0B9FL2SNZ</t>
  </si>
  <si>
    <t>Acrylic Cylinder 5 inch</t>
  </si>
  <si>
    <t>amazon.com/dp/B016V20GG8?ref=ppx_yo2ov_dt_b_fed_asin_title</t>
  </si>
  <si>
    <t>B016V20GG8</t>
  </si>
  <si>
    <t>Glass 2oz Container</t>
  </si>
  <si>
    <t>https://www.amazon.com/dp/B0C5JT9YYK?ref_=ppx_hzsearch_conn_dt_b_fed_asin_title_2&amp;th=1</t>
  </si>
  <si>
    <t>B0C5JT9YYK</t>
  </si>
  <si>
    <t>Glass Drain Tank</t>
  </si>
  <si>
    <t>amazon.com/dp/B0BW7QDLPJ?ref_=ppx_hzsearch_conn_dt_b_fed_asin_title_3</t>
  </si>
  <si>
    <t>B0BW7QDLPJ</t>
  </si>
  <si>
    <t>Plastic 2oz Container</t>
  </si>
  <si>
    <t>https://www.amazon.com/dp/B0DF5NKM6M?ref=ppx_yo2ov_dt_b_fed_asin_title</t>
  </si>
  <si>
    <t>B0DF5NKM6M</t>
  </si>
  <si>
    <t>Glass Algae Tank</t>
  </si>
  <si>
    <t>https://www.amazon.com/dp/B09S3HWW77?ref_=ppx_hzsearch_conn_dt_b_fed_asin_title_1</t>
  </si>
  <si>
    <t>B09S3HWW77</t>
  </si>
  <si>
    <t>Plastic Liquid Additive Container</t>
  </si>
  <si>
    <t>https://www.amazon.com/dp/B0B7KXBNX2?ref_=ppx_hzsearch_conn_dt_b_fed_asin_title_1&amp;th=1</t>
  </si>
  <si>
    <t xml:space="preserve">	B0B7KXBNX2</t>
  </si>
  <si>
    <t>Metric Screw M3x5mm</t>
  </si>
  <si>
    <t>amazon.com/dp/B0CGTSSYHT?ref=ppx_yo2ov_dt_b_fed_asin_title</t>
  </si>
  <si>
    <t>B0CGTSSYHT</t>
  </si>
  <si>
    <t>Metric screw M5x10mm</t>
  </si>
  <si>
    <t>https://www.amazon.com/dp/B0CTH4YMZV?ref=ppx_yo2ov_dt_b_fed_asin_title&amp;th=1</t>
  </si>
  <si>
    <t>B0CTH4YMZV</t>
  </si>
  <si>
    <t>Metric Screw M6 x 60mm</t>
  </si>
  <si>
    <t>amazon.com/dp/B0DHL1N2ZT?ref=ppx_yo2ov_dt_b_fed_asin_title</t>
  </si>
  <si>
    <t xml:space="preserve">	B0DHL1N2ZT</t>
  </si>
  <si>
    <t>Metric Screw M6 x 20mm</t>
  </si>
  <si>
    <t>amazon.com/dp/B0DHKY357Q?ref=ppx_yo2ov_dt_b_fed_asin_title</t>
  </si>
  <si>
    <t>B0DHKY357Q</t>
  </si>
  <si>
    <t>Air Bubbler</t>
  </si>
  <si>
    <t>https://www.amazon.com/dp/B0BG1N2RQ8?ref=ppx_yo2ov_dt_b_fed_asin_title&amp;th=1</t>
  </si>
  <si>
    <t>B0BG1N2RQ8</t>
  </si>
  <si>
    <t>Straight Fitting 1/8 NPT x 1/4 Barb</t>
  </si>
  <si>
    <t>amazon.com/dp/B0753BB8YP?ref_=ppx_hzsearch_conn_dt_b_fed_asin_title_4</t>
  </si>
  <si>
    <t>B0753BB8YP</t>
  </si>
  <si>
    <t>Elbow Fitting 1/8 NPT x 1/4 Barb</t>
  </si>
  <si>
    <t>https://www.amazon.com/dp/B0C4B94GD1?ref_=ppx_hzsearch_conn_dt_b_fed_asin_title_4&amp;th=1</t>
  </si>
  <si>
    <t xml:space="preserve">	B0C4B94GD1</t>
  </si>
  <si>
    <t>Elbow Fitting 1/8 NPT x 1/8 Barb</t>
  </si>
  <si>
    <t>amazon.com/dp/B0BGBPHK9Q?ref_=ppx_hzsearch_conn_dt_b_fed_asin_title_4</t>
  </si>
  <si>
    <t xml:space="preserve">	B0BGBPHK9Q</t>
  </si>
  <si>
    <t>φ10×4.5cm 500 Mesh 304 Stainless Lab Sieve</t>
  </si>
  <si>
    <t>amazon.com/dp/B07TQ5BFPG?ref=ppx_yo2ov_dt_b_fed_asin_title</t>
  </si>
  <si>
    <t>‎B07TQ5BFPG</t>
  </si>
  <si>
    <t>JST XH 2.54mm Pitch 4-Pin (Stepper Connector)</t>
  </si>
  <si>
    <t>https://www.amazon.com/dp/B0B2RB524Y?ref=ppx_yo2ov_dt_b_fed_asin_title&amp;th=1</t>
  </si>
  <si>
    <t>‎B0B2RB524Y</t>
  </si>
  <si>
    <t xml:space="preserve">1/8" "Y" Hose Barb Fitting </t>
  </si>
  <si>
    <t>https://www.amazon.com/dp/B08S6T79JD?ref=ppx_yo2ov_dt_b_fed_asin_title&amp;th=1</t>
  </si>
  <si>
    <t>B08S6T79JD</t>
  </si>
  <si>
    <t>Dust Mesh</t>
  </si>
  <si>
    <t>https://www.amazon.com/dp/B09Y336F2R?ref=ppx_yo2ov_dt_b_fed_asin_title</t>
  </si>
  <si>
    <t>B09Y336F2R</t>
  </si>
  <si>
    <t>Magnetic Stir Rod</t>
  </si>
  <si>
    <t>amazon.com/dp/B0DPZRK4W3?ref_=ppx_hzsearch_conn_dt_b_fed_asin_title_4</t>
  </si>
  <si>
    <t>B0DPZRK4W3</t>
  </si>
  <si>
    <t xml:space="preserve">Plastic Distilled Water Resevoir </t>
  </si>
  <si>
    <t>https://www.amazon.com/dp/B08KZNV6FM?ref_=ppx_hzsearch_conn_dt_b_fed_asin_title_5&amp;th=1</t>
  </si>
  <si>
    <t>B08KZNV6FM</t>
  </si>
  <si>
    <t>Spray Paint- Perfect Grey</t>
  </si>
  <si>
    <t>Paint</t>
  </si>
  <si>
    <t>Menards</t>
  </si>
  <si>
    <t>https://www.menards.com/main/paint/spray-paint/all-purpose-spray-paint/rust-oleum-reg-painters-touch-reg-2x-ultra-cover-reg-ultra-matte-spray-paint-12-oz/331184/p-1517988684850-c-8050.htm</t>
  </si>
  <si>
    <t>SKU: 5574484</t>
  </si>
  <si>
    <t>Spray Paint- Dark Grey</t>
  </si>
  <si>
    <t>https://www.menards.com/main/paint/spray-paint/all-purpose-spray-paint/rust-oleum-reg-stops-rust-reg-automotive-spray-primer-12-oz/384757/p-1642874304312266-c-8050.htm</t>
  </si>
  <si>
    <t>SKU: 5577676</t>
  </si>
  <si>
    <t>Spray Paint- Kubata Orange</t>
  </si>
  <si>
    <t>https://www.menards.com/main/paint/spray-paint/all-purpose-spray-paint/rust-oleum-reg-gloss-kubota-orange-farm-implement-spray-paint-12-oz/280142/p-1642874279245935-c-8050.htm</t>
  </si>
  <si>
    <t>SKU: 5578476</t>
  </si>
  <si>
    <t>Spray Paint- Sandable Primer</t>
  </si>
  <si>
    <t>https://www.menards.com/main/paint/spray-paint/all-purpose-spray-paint/rust-oleum-reg-sandable-primer-spray-12-oz/249415/p-1444452973541-c-8050.htm</t>
  </si>
  <si>
    <t>SKU: 5575599</t>
  </si>
  <si>
    <t>USB-Hub</t>
  </si>
  <si>
    <t>https://www.amazon.com/dp/B004DVEWH4?ref=ppx_yo2ov_dt_b_fed_asin_title&amp;th=1</t>
  </si>
  <si>
    <t>B004DVEWH4</t>
  </si>
  <si>
    <t>USB A to B Cable, 6FT</t>
  </si>
  <si>
    <t>https://www.amazon.com/dp/B0DP1RSPDT?ref=ppx_yo2ov_dt_b_fed_asin_title&amp;th=1</t>
  </si>
  <si>
    <t>B0DP1RSPDT</t>
  </si>
  <si>
    <t>Micro USB Cable 2 FT</t>
  </si>
  <si>
    <t>https://www.amazon.com/dp/B0C14VNHR9?ref=ppx_yo2ov_dt_b_fed_asin_title&amp;th=1</t>
  </si>
  <si>
    <t>B0C14VNHR9</t>
  </si>
  <si>
    <t>Required Items Cost</t>
  </si>
  <si>
    <t>Required + Optional Item Cost</t>
  </si>
  <si>
    <t>These prices do not include shipping or tax. Many of these parts are sold in quantities greater than necessary. You may be able to reduce cost by sourcing parts at the quantity required or from other vendors. The prices listed are current as of 010/01/2025.</t>
  </si>
  <si>
    <t>Name</t>
  </si>
  <si>
    <t>Option</t>
  </si>
  <si>
    <t>Source Link</t>
  </si>
  <si>
    <t>Flat Screw Driver</t>
  </si>
  <si>
    <t>Generic</t>
  </si>
  <si>
    <t>Soldering Iron</t>
  </si>
  <si>
    <t>Specific</t>
  </si>
  <si>
    <t>https://www.amazon.com/dp/B09TXP1KDV?ref_=ppx_hzsearch_conn_dt_b_fed_asin_title_9</t>
  </si>
  <si>
    <t>Metric Allen Wrench Set</t>
  </si>
  <si>
    <t>Phillips Screw Driver</t>
  </si>
  <si>
    <t>Multimeter</t>
  </si>
  <si>
    <t>Wire Stripper</t>
  </si>
  <si>
    <t>Side Cutter</t>
  </si>
  <si>
    <t>Exacto Knife</t>
  </si>
  <si>
    <t>Detail Sander</t>
  </si>
  <si>
    <t>https://www.menards.com/main/tools/power-tools/sanders/performax-reg-0-8-amp-corded-detail-sander-kit-28-piece/jd2443/p-1495625926450-c-10088.htm</t>
  </si>
  <si>
    <t>SKU: 2410969</t>
  </si>
  <si>
    <t>Graduated Cylinder 100ml</t>
  </si>
  <si>
    <t>https://www.amazon.com/dp/B00AITZUMQ?ref=ppx_yo2ov_dt_b_fed_asin_title</t>
  </si>
  <si>
    <t>‎B00AITZUMQ</t>
  </si>
  <si>
    <t>1/8 NPT Drill and Tap Set</t>
  </si>
  <si>
    <t>https://www.amazon.com/dp/B01M4RXY21?ref=ppx_yo2ov_dt_b_fed_asin_title&amp;th=1</t>
  </si>
  <si>
    <t>B01M4RXY21</t>
  </si>
  <si>
    <t>3D Printer Bambu Labs A1 Combo</t>
  </si>
  <si>
    <t>https://us.store.bambulab.com/products/a1?from=navigation&amp;id=579550514255634440</t>
  </si>
  <si>
    <t>A1 Combo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</si>
</sst>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
    <font>
      <sz val="10.0"/>
      <color rgb="FF000000"/>
      <name val="Arial"/>
      <scheme val="minor"/>
    </font>
    <font>
      <color theme="1"/>
      <name val="Arial"/>
      <scheme val="minor"/>
    </font>
    <font>
      <u/>
      <color rgb="FF0000FF"/>
      <name val="Roboto"/>
    </font>
    <font>
      <u/>
      <color rgb="FF0000FF"/>
      <name val="Roboto"/>
    </font>
    <font>
      <u/>
      <color rgb="FF434343"/>
      <name val="Roboto"/>
    </font>
    <font>
      <u/>
      <color rgb="FF0000FF"/>
      <name val="Roboto"/>
    </font>
    <font>
      <u/>
      <color rgb="FF0000FF"/>
      <name val="Roboto"/>
    </font>
    <font>
      <sz val="11.0"/>
      <color rgb="FF333333"/>
      <name val="Arial"/>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0" xfId="0" applyAlignment="1" applyFont="1">
      <alignment readingOrder="0" shrinkToFit="0" vertical="center" wrapText="1"/>
    </xf>
    <xf borderId="0" fillId="2" fontId="7" numFmtId="0" xfId="0" applyAlignment="1" applyFill="1" applyFont="1">
      <alignment readingOrder="0" shrinkToFit="0" vertical="center" wrapText="0"/>
    </xf>
    <xf borderId="1" fillId="3" fontId="1" numFmtId="0" xfId="0" applyAlignment="1" applyBorder="1" applyFill="1" applyFont="1">
      <alignment readingOrder="0"/>
    </xf>
    <xf borderId="1" fillId="3" fontId="1" numFmtId="164" xfId="0" applyBorder="1" applyFont="1" applyNumberFormat="1"/>
    <xf borderId="1" fillId="4" fontId="1" numFmtId="0" xfId="0" applyAlignment="1" applyBorder="1" applyFill="1" applyFont="1">
      <alignment readingOrder="0"/>
    </xf>
    <xf borderId="1" fillId="4" fontId="1" numFmtId="164" xfId="0" applyBorder="1" applyFont="1" applyNumberFormat="1"/>
    <xf borderId="0" fillId="5" fontId="1" numFmtId="0" xfId="0" applyAlignment="1" applyFill="1" applyFont="1">
      <alignment readingOrder="0" shrinkToFit="0" wrapText="1"/>
    </xf>
    <xf borderId="0" fillId="0" fontId="1" numFmtId="0" xfId="0" applyAlignment="1" applyFont="1">
      <alignment readingOrder="0" shrinkToFit="0" wrapText="1"/>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BOM-style">
      <tableStyleElement dxfId="1" type="headerRow"/>
      <tableStyleElement dxfId="2" type="firstRowStripe"/>
      <tableStyleElement dxfId="3" type="secondRowStripe"/>
      <tableStyleElement dxfId="4" size="0" type="wholeTable"/>
    </tableStyle>
    <tableStyle count="4" pivot="0" name="Tool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75" displayName="Table1" name="Table1" id="1">
  <tableColumns count="10">
    <tableColumn name="Part Name" id="1"/>
    <tableColumn name="Category" id="2"/>
    <tableColumn name="Requirement" id="3"/>
    <tableColumn name="Quantity" id="4"/>
    <tableColumn name="Package Style" id="5"/>
    <tableColumn name="Cost" id="6"/>
    <tableColumn name="Net Cost" id="7"/>
    <tableColumn name="Source" id="8"/>
    <tableColumn name="Link" id="9"/>
    <tableColumn name="Part Number" id="10"/>
  </tableColumns>
  <tableStyleInfo name="BOM-style" showColumnStripes="0" showFirstColumn="1" showLastColumn="1" showRowStripes="1"/>
</table>
</file>

<file path=xl/tables/table2.xml><?xml version="1.0" encoding="utf-8"?>
<table xmlns="http://schemas.openxmlformats.org/spreadsheetml/2006/main" ref="A1:E13" displayName="Table2" name="Table2" id="2">
  <tableColumns count="5">
    <tableColumn name="Name" id="1"/>
    <tableColumn name="Option" id="2"/>
    <tableColumn name="Cost" id="3"/>
    <tableColumn name="Source Link" id="4"/>
    <tableColumn name="Part Number" id="5"/>
  </tableColumns>
  <tableStyleInfo name="Too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mazon.com/dp/B07HLJ97J6?ref=ppx_yo2ov_dt_b_fed_asin_title" TargetMode="External"/><Relationship Id="rId42" Type="http://schemas.openxmlformats.org/officeDocument/2006/relationships/hyperlink" Target="https://www.amazon.com/dp/B08XLXJ9K8?ref=ppx_yo2ov_dt_b_fed_asin_title&amp;th=1" TargetMode="External"/><Relationship Id="rId41" Type="http://schemas.openxmlformats.org/officeDocument/2006/relationships/hyperlink" Target="https://www.amazon.com/dp/B0CTMQNJB4?ref_=ppx_hzsearch_conn_dt_b_fed_asin_title_1&amp;th=1" TargetMode="External"/><Relationship Id="rId44" Type="http://schemas.openxmlformats.org/officeDocument/2006/relationships/hyperlink" Target="http://amazon.com/dp/B0BM3S9ZG7?ref_=ppx_hzsearch_conn_dt_b_fed_asin_title_1" TargetMode="External"/><Relationship Id="rId43" Type="http://schemas.openxmlformats.org/officeDocument/2006/relationships/hyperlink" Target="https://www.amazon.com/dp/B07W5TGX8B?ref_=ppx_hzsearch_conn_dt_b_fed_asin_title_11&amp;th=1" TargetMode="External"/><Relationship Id="rId46" Type="http://schemas.openxmlformats.org/officeDocument/2006/relationships/hyperlink" Target="http://amazon.com/dp/B0DFCXKX14?ref_=ppx_hzsearch_conn_dt_b_fed_asin_title_2" TargetMode="External"/><Relationship Id="rId45" Type="http://schemas.openxmlformats.org/officeDocument/2006/relationships/hyperlink" Target="https://www.amazon.com/dp/B0BJFBP3Y7?ref_=ppx_hzsearch_conn_dt_b_fed_asin_title_3" TargetMode="External"/><Relationship Id="rId1" Type="http://schemas.openxmlformats.org/officeDocument/2006/relationships/hyperlink" Target="https://www.amazon.com/J-B-Weld-50114-ClearWeld-Setting/dp/B07D1NX76J/ref=sr_1_4?crid=CW6LLDYUCMKQ&amp;dib=eyJ2IjoiMSJ9.9qYnyqxP_GDB1LnGl1xzS-555KvbHbpa7Yb4OQ6zBXwtodeO_-0IPlsLzLcfyN1v8y2KRZIEG3vT8fN0qiA4-zUVeY-1XIndW9U9y6MLsEdc4zp0Cdp3LlSH-9IsRAg4WqQatZjoAfHo34ajT5BIDFlxIxnnri3dX3S7ytvBWsoviLg6pu3_I4FfVhmDFwQSmkZzNLWFZIgnhOQgMVXJoZGIrBCZshsQOuDuhYL7GpA.F9mQDYlU7vfN96yL_potnX55jQvsN74_yHHYeupijXQ&amp;dib_tag=se&amp;keywords=epoxy%2Bclear%2Bsyringe&amp;qid=1764880979&amp;sprefix=epoxy%2Bclear%2Bsyring%2Caps%2C145&amp;sr=8-4&amp;th=1" TargetMode="External"/><Relationship Id="rId2" Type="http://schemas.openxmlformats.org/officeDocument/2006/relationships/hyperlink" Target="https://www.amazon.com/dp/B06XRKMYKR?ref=ppx_yo2ov_dt_b_fed_asin_title&amp;th=1" TargetMode="External"/><Relationship Id="rId3" Type="http://schemas.openxmlformats.org/officeDocument/2006/relationships/hyperlink" Target="https://www.amazon.com/dp/B098DW7485?ref=ppx_yo2ov_dt_b_fed_asin_title&amp;th=1" TargetMode="External"/><Relationship Id="rId4" Type="http://schemas.openxmlformats.org/officeDocument/2006/relationships/hyperlink" Target="https://www.amazon.com/Electrical-60ft-Black-Copper-Clad-Appliances-Electronics/dp/B0FC6W4XXM/ref=sr_1_2_sspa?crid=C5GGYTVWZ8XW&amp;dib=eyJ2IjoiMSJ9.7LCcOO_0eV_jBUaOSfqQauPLVKuMjooE3Tq5c_0nLrnZZrQ0PRMg61xeCH6aY5W70oVgAZWl8GrOERmTVWzjvyrMXlyW-x8QCxASGymi9NSdr6obKufrYVKm6Jkg2N6tte_5T5J3Ug3Y4Al7ZzwPbZJ2BLHHKdqkvvE4jXo8-YWtd8OaO1TXfyW3uXtBn3POjJq4V4BRJFWR4noy8WANhv0z-nt7zDv6qgxgoe5bDDSvgy1n2FrwnS0MnM35644sNe4Lr7YeAfXzWVoSKSJIw5jX8WeE-aD-Zy4ntaM6XBE.QvN7YvpwAkZvLfT29ZoPfpUyAVdzxSZzSgaOm1FS8rw&amp;dib_tag=se&amp;keywords=18%2BAWg%2Bred%2Band%2Bblack%2Bwire%2Bsilicone&amp;qid=1764879911&amp;sprefix=18%2Bawg%2Bred%2Band%2Bblack%2Bwire%2Bsilicone%2Caps%2C144&amp;sr=8-2-spons&amp;sp_csd=d2lkZ2V0TmFtZT1zcF9hdGY&amp;th=1" TargetMode="External"/><Relationship Id="rId9" Type="http://schemas.openxmlformats.org/officeDocument/2006/relationships/hyperlink" Target="https://www.adafruit.com/product/4681" TargetMode="External"/><Relationship Id="rId48" Type="http://schemas.openxmlformats.org/officeDocument/2006/relationships/hyperlink" Target="http://amazon.com/dp/B016V20GG8?ref=ppx_yo2ov_dt_b_fed_asin_title" TargetMode="External"/><Relationship Id="rId47" Type="http://schemas.openxmlformats.org/officeDocument/2006/relationships/hyperlink" Target="http://amazon.com/dp/B0B9FL2SNZ?ref_=ppx_hzsearch_conn_dt_b_fed_asin_title_5" TargetMode="External"/><Relationship Id="rId49" Type="http://schemas.openxmlformats.org/officeDocument/2006/relationships/hyperlink" Target="https://www.amazon.com/dp/B0C5JT9YYK?ref_=ppx_hzsearch_conn_dt_b_fed_asin_title_2&amp;th=1" TargetMode="External"/><Relationship Id="rId5" Type="http://schemas.openxmlformats.org/officeDocument/2006/relationships/hyperlink" Target="https://www.amazon.com/dp/B089D5SNC2?ref_=ppx_hzsearch_conn_dt_b_fed_asin_title_43&amp;th=1" TargetMode="External"/><Relationship Id="rId6" Type="http://schemas.openxmlformats.org/officeDocument/2006/relationships/hyperlink" Target="https://www.amazon.com/dp/B0F7X423RW?ref=ppx_yo2ov_dt_b_fed_asin_title&amp;th=1" TargetMode="External"/><Relationship Id="rId7" Type="http://schemas.openxmlformats.org/officeDocument/2006/relationships/hyperlink" Target="https://www.amazon.com/dp/B07NXTBD8D?ref=ppx_yo2ov_dt_b_fed_asin_title" TargetMode="External"/><Relationship Id="rId8" Type="http://schemas.openxmlformats.org/officeDocument/2006/relationships/hyperlink" Target="https://www.amazon.com/Atlas-Scientific-Down-250ml-8oz/dp/B00P1MQWK4/ref=sr_1_1_sspa?crid=9Y1YXSZJJY72&amp;dib=eyJ2IjoiMSJ9.t2iVs1HXyvR32IiYtrmZlEPkBoUQ8jcChhlk9H-4qErtc5l9HFFEhBzzytnD6I3nhLflcXg3PaVWm_i0M_mzB1y7Hb_JdX5PsnXAG25dWmPIiEeFdzap2GbOSUfZpbGvQ0SrtVz1qQcyIlP2kIlTkrp1UoAS_Gu48WlyU3qRHrLKqbdQ0o0pt87o2UdSj7m6jo5USuMo27gTlGGozroYULSm7jKlNp5Zyjabk76X_kU.V7koYOscN-g1t_SVUTkZMq2bu8psSDf9hUZcfZ4iCkE&amp;dib_tag=se&amp;keywords=ph+balancing+atlas+scientific&amp;qid=1764880141&amp;sprefix=ph+balancing+atlas+scientific%2Caps%2C117&amp;sr=8-1-spons&amp;sp_csd=d2lkZ2V0TmFtZT1zcF9hdGY&amp;psc=1" TargetMode="External"/><Relationship Id="rId73" Type="http://schemas.openxmlformats.org/officeDocument/2006/relationships/hyperlink" Target="https://www.amazon.com/dp/B0DP1RSPDT?ref=ppx_yo2ov_dt_b_fed_asin_title&amp;th=1" TargetMode="External"/><Relationship Id="rId72" Type="http://schemas.openxmlformats.org/officeDocument/2006/relationships/hyperlink" Target="https://www.amazon.com/dp/B004DVEWH4?ref=ppx_yo2ov_dt_b_fed_asin_title&amp;th=1" TargetMode="External"/><Relationship Id="rId31" Type="http://schemas.openxmlformats.org/officeDocument/2006/relationships/hyperlink" Target="https://www.amazon.com/dp/B07FW5H57B?ref=ppx_yo2ov_dt_b_fed_asin_title&amp;th=1" TargetMode="External"/><Relationship Id="rId75" Type="http://schemas.openxmlformats.org/officeDocument/2006/relationships/drawing" Target="../drawings/drawing1.xml"/><Relationship Id="rId30" Type="http://schemas.openxmlformats.org/officeDocument/2006/relationships/hyperlink" Target="https://www.amazon.com/dp/B0DXP9MQZJ?ref_=ppx_hzsearch_conn_dt_b_fed_asin_title_4" TargetMode="External"/><Relationship Id="rId74" Type="http://schemas.openxmlformats.org/officeDocument/2006/relationships/hyperlink" Target="https://www.amazon.com/dp/B0C14VNHR9?ref=ppx_yo2ov_dt_b_fed_asin_title&amp;th=1" TargetMode="External"/><Relationship Id="rId33" Type="http://schemas.openxmlformats.org/officeDocument/2006/relationships/hyperlink" Target="https://www.amazon.com/dp/B0CB8HXQZR?ref=ppx_yo2ov_dt_b_fed_asin_title&amp;th=1" TargetMode="External"/><Relationship Id="rId77" Type="http://schemas.openxmlformats.org/officeDocument/2006/relationships/table" Target="../tables/table1.xml"/><Relationship Id="rId32" Type="http://schemas.openxmlformats.org/officeDocument/2006/relationships/hyperlink" Target="https://www.amazon.com/dp/B088H5369M?ref=ppx_yo2ov_dt_b_fed_asin_title" TargetMode="External"/><Relationship Id="rId35" Type="http://schemas.openxmlformats.org/officeDocument/2006/relationships/hyperlink" Target="https://www.amazon.com/dp/B0856WJMF4?ref=ppx_yo2ov_dt_b_fed_asin_title&amp;th=1" TargetMode="External"/><Relationship Id="rId34" Type="http://schemas.openxmlformats.org/officeDocument/2006/relationships/hyperlink" Target="https://www.amazon.com/dp/B08NWZ2KH5?ref_=ppx_hzsearch_conn_dt_b_fed_asin_title_2" TargetMode="External"/><Relationship Id="rId71" Type="http://schemas.openxmlformats.org/officeDocument/2006/relationships/hyperlink" Target="https://www.menards.com/main/paint/spray-paint/all-purpose-spray-paint/rust-oleum-reg-sandable-primer-spray-12-oz/249415/p-1444452973541-c-8050.htm" TargetMode="External"/><Relationship Id="rId70" Type="http://schemas.openxmlformats.org/officeDocument/2006/relationships/hyperlink" Target="https://www.menards.com/main/paint/spray-paint/all-purpose-spray-paint/rust-oleum-reg-gloss-kubota-orange-farm-implement-spray-paint-12-oz/280142/p-1642874279245935-c-8050.htm" TargetMode="External"/><Relationship Id="rId37" Type="http://schemas.openxmlformats.org/officeDocument/2006/relationships/hyperlink" Target="https://www.amazon.com/dp/B0B54LZV5L?ref=ppx_yo2ov_dt_b_fed_asin_title&amp;th=1" TargetMode="External"/><Relationship Id="rId36" Type="http://schemas.openxmlformats.org/officeDocument/2006/relationships/hyperlink" Target="https://us.store.bambulab.com/products/pla-basic-filament" TargetMode="External"/><Relationship Id="rId39" Type="http://schemas.openxmlformats.org/officeDocument/2006/relationships/hyperlink" Target="https://www.amazon.com/dp/B0DY11NQ86?ref=ppx_yo2ov_dt_b_fed_asin_title" TargetMode="External"/><Relationship Id="rId38" Type="http://schemas.openxmlformats.org/officeDocument/2006/relationships/hyperlink" Target="https://www.amazon.com/dp/B0B5FM8FBV?ref=ppx_yo2ov_dt_b_fed_asin_title&amp;th=1" TargetMode="External"/><Relationship Id="rId62" Type="http://schemas.openxmlformats.org/officeDocument/2006/relationships/hyperlink" Target="http://amazon.com/dp/B07TQ5BFPG?ref=ppx_yo2ov_dt_b_fed_asin_title" TargetMode="External"/><Relationship Id="rId61" Type="http://schemas.openxmlformats.org/officeDocument/2006/relationships/hyperlink" Target="http://amazon.com/dp/B0BGBPHK9Q?ref_=ppx_hzsearch_conn_dt_b_fed_asin_title_4" TargetMode="External"/><Relationship Id="rId20" Type="http://schemas.openxmlformats.org/officeDocument/2006/relationships/hyperlink" Target="https://www.amazon.com/dp/B07Q1C3PW2?ref_=ppx_hzsearch_conn_dt_b_fed_asin_title_3&amp;th=1" TargetMode="External"/><Relationship Id="rId64" Type="http://schemas.openxmlformats.org/officeDocument/2006/relationships/hyperlink" Target="https://www.amazon.com/dp/B08S6T79JD?ref=ppx_yo2ov_dt_b_fed_asin_title&amp;th=1" TargetMode="External"/><Relationship Id="rId63" Type="http://schemas.openxmlformats.org/officeDocument/2006/relationships/hyperlink" Target="https://www.amazon.com/dp/B0B2RB524Y?ref=ppx_yo2ov_dt_b_fed_asin_title&amp;th=1" TargetMode="External"/><Relationship Id="rId22" Type="http://schemas.openxmlformats.org/officeDocument/2006/relationships/hyperlink" Target="https://www.amazon.com/dp/B0863TCH65?ref_=ppx_hzsearch_conn_dt_b_fed_asin_title_4" TargetMode="External"/><Relationship Id="rId66" Type="http://schemas.openxmlformats.org/officeDocument/2006/relationships/hyperlink" Target="http://amazon.com/dp/B0DPZRK4W3?ref_=ppx_hzsearch_conn_dt_b_fed_asin_title_4" TargetMode="External"/><Relationship Id="rId21" Type="http://schemas.openxmlformats.org/officeDocument/2006/relationships/hyperlink" Target="https://www.amazon.com/dp/B0DC9TF1BS?ref_=ppx_hzsearch_conn_dt_b_fed_asin_title_3&amp;th=1" TargetMode="External"/><Relationship Id="rId65" Type="http://schemas.openxmlformats.org/officeDocument/2006/relationships/hyperlink" Target="https://www.amazon.com/dp/B09Y336F2R?ref=ppx_yo2ov_dt_b_fed_asin_title" TargetMode="External"/><Relationship Id="rId24" Type="http://schemas.openxmlformats.org/officeDocument/2006/relationships/hyperlink" Target="https://www.amazon.com/dp/B0F7WKZFCV?ref=ppx_yo2ov_dt_b_fed_asin_title&amp;th=1" TargetMode="External"/><Relationship Id="rId68" Type="http://schemas.openxmlformats.org/officeDocument/2006/relationships/hyperlink" Target="https://www.menards.com/main/paint/spray-paint/all-purpose-spray-paint/rust-oleum-reg-painters-touch-reg-2x-ultra-cover-reg-ultra-matte-spray-paint-12-oz/331184/p-1517988684850-c-8050.htm" TargetMode="External"/><Relationship Id="rId23" Type="http://schemas.openxmlformats.org/officeDocument/2006/relationships/hyperlink" Target="https://www.amazon.com/dp/B0CXTFN8K9?ref_=ppx_hzsearch_conn_dt_b_fed_asin_title_5&amp;th=1" TargetMode="External"/><Relationship Id="rId67" Type="http://schemas.openxmlformats.org/officeDocument/2006/relationships/hyperlink" Target="https://www.amazon.com/dp/B08KZNV6FM?ref_=ppx_hzsearch_conn_dt_b_fed_asin_title_5&amp;th=1" TargetMode="External"/><Relationship Id="rId60" Type="http://schemas.openxmlformats.org/officeDocument/2006/relationships/hyperlink" Target="https://www.amazon.com/dp/B0C4B94GD1?ref_=ppx_hzsearch_conn_dt_b_fed_asin_title_4&amp;th=1" TargetMode="External"/><Relationship Id="rId26" Type="http://schemas.openxmlformats.org/officeDocument/2006/relationships/hyperlink" Target="https://www.amazon.com/dp/B0CCY9LTH7?ref_=ppx_hzsearch_conn_dt_b_fed_asin_title_7" TargetMode="External"/><Relationship Id="rId25" Type="http://schemas.openxmlformats.org/officeDocument/2006/relationships/hyperlink" Target="https://www.amazon.com/dp/B0D976V14T?ref_=ppx_hzsearch_conn_dt_b_fed_asin_title_13&amp;th=1" TargetMode="External"/><Relationship Id="rId69" Type="http://schemas.openxmlformats.org/officeDocument/2006/relationships/hyperlink" Target="https://www.menards.com/main/paint/spray-paint/all-purpose-spray-paint/rust-oleum-reg-stops-rust-reg-automotive-spray-primer-12-oz/384757/p-1642874304312266-c-8050.htm" TargetMode="External"/><Relationship Id="rId28" Type="http://schemas.openxmlformats.org/officeDocument/2006/relationships/hyperlink" Target="https://www.amazon.com/dp/B07MY6XJKK?ref_=ppx_hzsearch_conn_dt_b_fed_asin_title_1&amp;th=1" TargetMode="External"/><Relationship Id="rId27" Type="http://schemas.openxmlformats.org/officeDocument/2006/relationships/hyperlink" Target="https://www.amazon.com/dp/B09RZMFL35?ref=ppx_yo2ov_dt_b_fed_asin_title&amp;th=1" TargetMode="External"/><Relationship Id="rId29" Type="http://schemas.openxmlformats.org/officeDocument/2006/relationships/hyperlink" Target="https://www.amazon.com/dp/B01LFV52T6?ref=ppx_yo2ov_dt_b_fed_asin_title" TargetMode="External"/><Relationship Id="rId51" Type="http://schemas.openxmlformats.org/officeDocument/2006/relationships/hyperlink" Target="https://www.amazon.com/dp/B0DF5NKM6M?ref=ppx_yo2ov_dt_b_fed_asin_title" TargetMode="External"/><Relationship Id="rId50" Type="http://schemas.openxmlformats.org/officeDocument/2006/relationships/hyperlink" Target="http://amazon.com/dp/B0BW7QDLPJ?ref_=ppx_hzsearch_conn_dt_b_fed_asin_title_3" TargetMode="External"/><Relationship Id="rId53" Type="http://schemas.openxmlformats.org/officeDocument/2006/relationships/hyperlink" Target="https://www.amazon.com/dp/B0B7KXBNX2?ref_=ppx_hzsearch_conn_dt_b_fed_asin_title_1&amp;th=1" TargetMode="External"/><Relationship Id="rId52" Type="http://schemas.openxmlformats.org/officeDocument/2006/relationships/hyperlink" Target="https://www.amazon.com/dp/B09S3HWW77?ref_=ppx_hzsearch_conn_dt_b_fed_asin_title_1" TargetMode="External"/><Relationship Id="rId11" Type="http://schemas.openxmlformats.org/officeDocument/2006/relationships/hyperlink" Target="https://www.dfrobot.com/product-2069.html" TargetMode="External"/><Relationship Id="rId55" Type="http://schemas.openxmlformats.org/officeDocument/2006/relationships/hyperlink" Target="https://www.amazon.com/dp/B0CTH4YMZV?ref=ppx_yo2ov_dt_b_fed_asin_title&amp;th=1" TargetMode="External"/><Relationship Id="rId10" Type="http://schemas.openxmlformats.org/officeDocument/2006/relationships/hyperlink" Target="https://www.adafruit.com/product/5976" TargetMode="External"/><Relationship Id="rId54" Type="http://schemas.openxmlformats.org/officeDocument/2006/relationships/hyperlink" Target="http://amazon.com/dp/B0CGTSSYHT?ref=ppx_yo2ov_dt_b_fed_asin_title" TargetMode="External"/><Relationship Id="rId13" Type="http://schemas.openxmlformats.org/officeDocument/2006/relationships/hyperlink" Target="https://www.amazon.com/dp/B07X1LBK19?ref=ppx_yo2ov_dt_b_fed_asin_title&amp;th=1" TargetMode="External"/><Relationship Id="rId57" Type="http://schemas.openxmlformats.org/officeDocument/2006/relationships/hyperlink" Target="http://amazon.com/dp/B0DHKY357Q?ref=ppx_yo2ov_dt_b_fed_asin_title" TargetMode="External"/><Relationship Id="rId12" Type="http://schemas.openxmlformats.org/officeDocument/2006/relationships/hyperlink" Target="https://www.amazon.com/dp/B00M1PM55K?ref_=ppx_hzsearch_conn_dt_b_fed_asin_title_1" TargetMode="External"/><Relationship Id="rId56" Type="http://schemas.openxmlformats.org/officeDocument/2006/relationships/hyperlink" Target="http://amazon.com/dp/B0DHL1N2ZT?ref=ppx_yo2ov_dt_b_fed_asin_title" TargetMode="External"/><Relationship Id="rId15" Type="http://schemas.openxmlformats.org/officeDocument/2006/relationships/hyperlink" Target="https://www.amazon.com/dp/B00PNEQI7W?ref=ppx_yo2ov_dt_b_fed_asin_title" TargetMode="External"/><Relationship Id="rId59" Type="http://schemas.openxmlformats.org/officeDocument/2006/relationships/hyperlink" Target="http://amazon.com/dp/B0753BB8YP?ref_=ppx_hzsearch_conn_dt_b_fed_asin_title_4" TargetMode="External"/><Relationship Id="rId14" Type="http://schemas.openxmlformats.org/officeDocument/2006/relationships/hyperlink" Target="https://www.amazon.com/dp/B07K7FQ245?ref_=ppx_hzsearch_conn_dt_b_fed_asin_title_2&amp;th=1" TargetMode="External"/><Relationship Id="rId58" Type="http://schemas.openxmlformats.org/officeDocument/2006/relationships/hyperlink" Target="https://www.amazon.com/dp/B0BG1N2RQ8?ref=ppx_yo2ov_dt_b_fed_asin_title&amp;th=1" TargetMode="External"/><Relationship Id="rId17" Type="http://schemas.openxmlformats.org/officeDocument/2006/relationships/hyperlink" Target="https://www.amazon.com/dp/B0C5JCF5RS?ref_=ppx_hzsearch_conn_dt_b_fed_asin_title_5" TargetMode="External"/><Relationship Id="rId16" Type="http://schemas.openxmlformats.org/officeDocument/2006/relationships/hyperlink" Target="https://www.amazon.com/dp/B08SMDY3SQ?ref=ppx_yo2ov_dt_b_fed_asin_title&amp;th=1" TargetMode="External"/><Relationship Id="rId19" Type="http://schemas.openxmlformats.org/officeDocument/2006/relationships/hyperlink" Target="https://www.amazon.com/dp/B0CK2FCG1K?ref=ppx_yo2ov_dt_b_fed_asin_title" TargetMode="External"/><Relationship Id="rId18" Type="http://schemas.openxmlformats.org/officeDocument/2006/relationships/hyperlink" Target="http://amazon.com/dp/B07YQ56B6Q?ref_=ppx_hzsearch_conn_dt_b_fed_asin_title_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mazon.com/dp/B09TXP1KDV?ref_=ppx_hzsearch_conn_dt_b_fed_asin_title_9" TargetMode="External"/><Relationship Id="rId2" Type="http://schemas.openxmlformats.org/officeDocument/2006/relationships/hyperlink" Target="https://www.menards.com/main/tools/power-tools/sanders/performax-reg-0-8-amp-corded-detail-sander-kit-28-piece/jd2443/p-1495625926450-c-10088.htm" TargetMode="External"/><Relationship Id="rId3" Type="http://schemas.openxmlformats.org/officeDocument/2006/relationships/hyperlink" Target="https://www.amazon.com/dp/B00AITZUMQ?ref=ppx_yo2ov_dt_b_fed_asin_title" TargetMode="External"/><Relationship Id="rId4" Type="http://schemas.openxmlformats.org/officeDocument/2006/relationships/hyperlink" Target="https://www.amazon.com/dp/B01M4RXY21?ref=ppx_yo2ov_dt_b_fed_asin_title&amp;th=1" TargetMode="External"/><Relationship Id="rId5" Type="http://schemas.openxmlformats.org/officeDocument/2006/relationships/hyperlink" Target="https://us.store.bambulab.com/products/a1?from=navigation&amp;id=579550514255634440"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38"/>
    <col customWidth="1" min="2" max="2" width="15.38"/>
    <col customWidth="1" min="3" max="3" width="14.63"/>
    <col customWidth="1" min="4" max="4" width="10.5"/>
    <col customWidth="1" min="5" max="5" width="12.13"/>
    <col customWidth="1" min="7" max="9" width="14.88"/>
    <col customWidth="1" min="10" max="10" width="15.5"/>
  </cols>
  <sheetData>
    <row r="1" ht="22.5" customHeight="1">
      <c r="A1" s="1" t="s">
        <v>0</v>
      </c>
      <c r="B1" s="1" t="s">
        <v>1</v>
      </c>
      <c r="C1" s="1" t="s">
        <v>2</v>
      </c>
      <c r="D1" s="1" t="s">
        <v>3</v>
      </c>
      <c r="E1" s="2" t="s">
        <v>4</v>
      </c>
      <c r="F1" s="1" t="s">
        <v>5</v>
      </c>
      <c r="G1" s="2" t="s">
        <v>6</v>
      </c>
      <c r="H1" s="2" t="s">
        <v>7</v>
      </c>
      <c r="I1" s="1" t="s">
        <v>8</v>
      </c>
      <c r="J1" s="3" t="s">
        <v>9</v>
      </c>
    </row>
    <row r="2" ht="22.5" customHeight="1">
      <c r="A2" s="4" t="s">
        <v>10</v>
      </c>
      <c r="B2" s="5" t="s">
        <v>11</v>
      </c>
      <c r="C2" s="6" t="s">
        <v>12</v>
      </c>
      <c r="D2" s="7">
        <v>2.0</v>
      </c>
      <c r="E2" s="5" t="s">
        <v>13</v>
      </c>
      <c r="F2" s="8">
        <v>6.0</v>
      </c>
      <c r="G2" s="9">
        <f t="shared" ref="G2:G75" si="1">D2*F2</f>
        <v>12</v>
      </c>
      <c r="H2" s="10" t="s">
        <v>14</v>
      </c>
      <c r="I2" s="11" t="s">
        <v>15</v>
      </c>
      <c r="J2" s="4" t="s">
        <v>16</v>
      </c>
    </row>
    <row r="3" ht="22.5" customHeight="1">
      <c r="A3" s="12" t="s">
        <v>17</v>
      </c>
      <c r="B3" s="12" t="s">
        <v>18</v>
      </c>
      <c r="C3" s="10" t="s">
        <v>12</v>
      </c>
      <c r="D3" s="13">
        <v>1.0</v>
      </c>
      <c r="E3" s="14" t="s">
        <v>13</v>
      </c>
      <c r="F3" s="9">
        <v>10.0</v>
      </c>
      <c r="G3" s="9">
        <f t="shared" si="1"/>
        <v>10</v>
      </c>
      <c r="H3" s="10" t="s">
        <v>14</v>
      </c>
      <c r="I3" s="15" t="s">
        <v>19</v>
      </c>
      <c r="J3" s="4" t="s">
        <v>20</v>
      </c>
    </row>
    <row r="4" ht="22.5" customHeight="1">
      <c r="A4" s="12" t="s">
        <v>21</v>
      </c>
      <c r="B4" s="12" t="s">
        <v>18</v>
      </c>
      <c r="C4" s="10" t="s">
        <v>12</v>
      </c>
      <c r="D4" s="13">
        <v>1.0</v>
      </c>
      <c r="E4" s="14" t="s">
        <v>22</v>
      </c>
      <c r="F4" s="9">
        <v>7.0</v>
      </c>
      <c r="G4" s="9">
        <f t="shared" si="1"/>
        <v>7</v>
      </c>
      <c r="H4" s="10" t="s">
        <v>14</v>
      </c>
      <c r="I4" s="16" t="s">
        <v>23</v>
      </c>
      <c r="J4" s="4" t="s">
        <v>24</v>
      </c>
    </row>
    <row r="5" ht="22.5" customHeight="1">
      <c r="A5" s="12" t="s">
        <v>25</v>
      </c>
      <c r="B5" s="12" t="s">
        <v>18</v>
      </c>
      <c r="C5" s="10" t="s">
        <v>12</v>
      </c>
      <c r="D5" s="13">
        <v>1.0</v>
      </c>
      <c r="E5" s="14" t="s">
        <v>26</v>
      </c>
      <c r="F5" s="9">
        <v>8.0</v>
      </c>
      <c r="G5" s="9">
        <f t="shared" si="1"/>
        <v>8</v>
      </c>
      <c r="H5" s="10" t="s">
        <v>14</v>
      </c>
      <c r="I5" s="15" t="s">
        <v>27</v>
      </c>
      <c r="J5" s="4" t="s">
        <v>28</v>
      </c>
    </row>
    <row r="6" ht="22.5" customHeight="1">
      <c r="A6" s="12" t="s">
        <v>29</v>
      </c>
      <c r="B6" s="12" t="s">
        <v>18</v>
      </c>
      <c r="C6" s="10" t="s">
        <v>12</v>
      </c>
      <c r="D6" s="13">
        <v>1.0</v>
      </c>
      <c r="E6" s="14" t="s">
        <v>22</v>
      </c>
      <c r="F6" s="9">
        <v>25.0</v>
      </c>
      <c r="G6" s="9">
        <f t="shared" si="1"/>
        <v>25</v>
      </c>
      <c r="H6" s="10" t="s">
        <v>14</v>
      </c>
      <c r="I6" s="15" t="s">
        <v>30</v>
      </c>
      <c r="J6" s="4" t="s">
        <v>31</v>
      </c>
    </row>
    <row r="7" ht="22.5" customHeight="1">
      <c r="A7" s="12" t="s">
        <v>32</v>
      </c>
      <c r="B7" s="12" t="s">
        <v>18</v>
      </c>
      <c r="C7" s="10" t="s">
        <v>12</v>
      </c>
      <c r="D7" s="13">
        <v>1.0</v>
      </c>
      <c r="E7" s="9" t="s">
        <v>22</v>
      </c>
      <c r="F7" s="9">
        <v>8.0</v>
      </c>
      <c r="G7" s="9">
        <f t="shared" si="1"/>
        <v>8</v>
      </c>
      <c r="H7" s="10" t="s">
        <v>14</v>
      </c>
      <c r="I7" s="17" t="s">
        <v>33</v>
      </c>
      <c r="J7" s="4" t="s">
        <v>34</v>
      </c>
    </row>
    <row r="8" ht="22.5" customHeight="1">
      <c r="A8" s="12" t="s">
        <v>35</v>
      </c>
      <c r="B8" s="14" t="s">
        <v>36</v>
      </c>
      <c r="C8" s="10" t="s">
        <v>12</v>
      </c>
      <c r="D8" s="13">
        <v>1.0</v>
      </c>
      <c r="E8" s="9" t="s">
        <v>13</v>
      </c>
      <c r="F8" s="9">
        <v>15.0</v>
      </c>
      <c r="G8" s="9">
        <f t="shared" si="1"/>
        <v>15</v>
      </c>
      <c r="H8" s="10" t="s">
        <v>14</v>
      </c>
      <c r="I8" s="15" t="s">
        <v>37</v>
      </c>
      <c r="J8" s="4" t="s">
        <v>38</v>
      </c>
    </row>
    <row r="9" ht="22.5" customHeight="1">
      <c r="A9" s="12" t="s">
        <v>39</v>
      </c>
      <c r="B9" s="14" t="s">
        <v>36</v>
      </c>
      <c r="C9" s="10" t="s">
        <v>12</v>
      </c>
      <c r="D9" s="13">
        <v>1.0</v>
      </c>
      <c r="E9" s="14" t="s">
        <v>22</v>
      </c>
      <c r="F9" s="9">
        <v>20.0</v>
      </c>
      <c r="G9" s="9">
        <f t="shared" si="1"/>
        <v>20</v>
      </c>
      <c r="H9" s="10" t="s">
        <v>14</v>
      </c>
      <c r="I9" s="15" t="s">
        <v>40</v>
      </c>
      <c r="J9" s="4" t="s">
        <v>41</v>
      </c>
    </row>
    <row r="10" ht="22.5" customHeight="1">
      <c r="A10" s="12" t="s">
        <v>42</v>
      </c>
      <c r="B10" s="12" t="s">
        <v>43</v>
      </c>
      <c r="C10" s="10" t="s">
        <v>12</v>
      </c>
      <c r="D10" s="13">
        <v>1.0</v>
      </c>
      <c r="E10" s="9" t="s">
        <v>13</v>
      </c>
      <c r="F10" s="9">
        <v>4.5</v>
      </c>
      <c r="G10" s="9">
        <f t="shared" si="1"/>
        <v>4.5</v>
      </c>
      <c r="H10" s="10" t="s">
        <v>44</v>
      </c>
      <c r="I10" s="15" t="s">
        <v>45</v>
      </c>
      <c r="J10" s="4" t="s">
        <v>46</v>
      </c>
    </row>
    <row r="11" ht="22.5" customHeight="1">
      <c r="A11" s="12" t="s">
        <v>47</v>
      </c>
      <c r="B11" s="12" t="s">
        <v>43</v>
      </c>
      <c r="C11" s="10" t="s">
        <v>12</v>
      </c>
      <c r="D11" s="13">
        <v>1.0</v>
      </c>
      <c r="E11" s="14" t="s">
        <v>13</v>
      </c>
      <c r="F11" s="9">
        <v>7.5</v>
      </c>
      <c r="G11" s="9">
        <f t="shared" si="1"/>
        <v>7.5</v>
      </c>
      <c r="H11" s="10" t="s">
        <v>44</v>
      </c>
      <c r="I11" s="15" t="s">
        <v>48</v>
      </c>
      <c r="J11" s="4" t="s">
        <v>49</v>
      </c>
    </row>
    <row r="12" ht="22.5" customHeight="1">
      <c r="A12" s="12" t="s">
        <v>50</v>
      </c>
      <c r="B12" s="12" t="s">
        <v>43</v>
      </c>
      <c r="C12" s="10" t="s">
        <v>12</v>
      </c>
      <c r="D12" s="13">
        <v>1.0</v>
      </c>
      <c r="E12" s="14" t="s">
        <v>13</v>
      </c>
      <c r="F12" s="9">
        <v>65.0</v>
      </c>
      <c r="G12" s="9">
        <f t="shared" si="1"/>
        <v>65</v>
      </c>
      <c r="H12" s="10" t="s">
        <v>51</v>
      </c>
      <c r="I12" s="17" t="s">
        <v>52</v>
      </c>
      <c r="J12" s="4" t="s">
        <v>53</v>
      </c>
    </row>
    <row r="13" ht="22.5" customHeight="1">
      <c r="A13" s="12" t="s">
        <v>54</v>
      </c>
      <c r="B13" s="12" t="s">
        <v>43</v>
      </c>
      <c r="C13" s="10" t="s">
        <v>12</v>
      </c>
      <c r="D13" s="13">
        <v>1.0</v>
      </c>
      <c r="E13" s="14" t="s">
        <v>13</v>
      </c>
      <c r="F13" s="9">
        <v>11.0</v>
      </c>
      <c r="G13" s="9">
        <f t="shared" si="1"/>
        <v>11</v>
      </c>
      <c r="H13" s="10" t="s">
        <v>14</v>
      </c>
      <c r="I13" s="17" t="s">
        <v>55</v>
      </c>
      <c r="J13" s="4" t="s">
        <v>56</v>
      </c>
    </row>
    <row r="14" ht="22.5" customHeight="1">
      <c r="A14" s="12" t="s">
        <v>57</v>
      </c>
      <c r="B14" s="12" t="s">
        <v>43</v>
      </c>
      <c r="C14" s="10" t="s">
        <v>12</v>
      </c>
      <c r="D14" s="13">
        <v>1.0</v>
      </c>
      <c r="E14" s="14" t="s">
        <v>13</v>
      </c>
      <c r="F14" s="9">
        <v>21.0</v>
      </c>
      <c r="G14" s="9">
        <f t="shared" si="1"/>
        <v>21</v>
      </c>
      <c r="H14" s="10" t="s">
        <v>14</v>
      </c>
      <c r="I14" s="15" t="s">
        <v>58</v>
      </c>
      <c r="J14" s="4" t="s">
        <v>59</v>
      </c>
    </row>
    <row r="15" ht="22.5" customHeight="1">
      <c r="A15" s="12" t="s">
        <v>60</v>
      </c>
      <c r="B15" s="12" t="s">
        <v>43</v>
      </c>
      <c r="C15" s="10" t="s">
        <v>12</v>
      </c>
      <c r="D15" s="13">
        <v>1.0</v>
      </c>
      <c r="E15" s="9" t="s">
        <v>13</v>
      </c>
      <c r="F15" s="9">
        <v>65.0</v>
      </c>
      <c r="G15" s="9">
        <f t="shared" si="1"/>
        <v>65</v>
      </c>
      <c r="H15" s="10" t="s">
        <v>14</v>
      </c>
      <c r="I15" s="17" t="s">
        <v>61</v>
      </c>
      <c r="J15" s="4" t="s">
        <v>62</v>
      </c>
    </row>
    <row r="16" ht="22.5" customHeight="1">
      <c r="A16" s="12" t="s">
        <v>63</v>
      </c>
      <c r="B16" s="12" t="s">
        <v>43</v>
      </c>
      <c r="C16" s="10" t="s">
        <v>12</v>
      </c>
      <c r="D16" s="13">
        <v>1.0</v>
      </c>
      <c r="E16" s="14" t="s">
        <v>13</v>
      </c>
      <c r="F16" s="9">
        <v>13.0</v>
      </c>
      <c r="G16" s="9">
        <f t="shared" si="1"/>
        <v>13</v>
      </c>
      <c r="H16" s="10" t="s">
        <v>14</v>
      </c>
      <c r="I16" s="15" t="s">
        <v>64</v>
      </c>
      <c r="J16" s="4" t="s">
        <v>65</v>
      </c>
    </row>
    <row r="17" ht="22.5" customHeight="1">
      <c r="A17" s="12" t="s">
        <v>66</v>
      </c>
      <c r="B17" s="12" t="s">
        <v>43</v>
      </c>
      <c r="C17" s="10" t="s">
        <v>12</v>
      </c>
      <c r="D17" s="13">
        <v>1.0</v>
      </c>
      <c r="E17" s="9" t="s">
        <v>22</v>
      </c>
      <c r="F17" s="9">
        <v>14.0</v>
      </c>
      <c r="G17" s="9">
        <f t="shared" si="1"/>
        <v>14</v>
      </c>
      <c r="H17" s="10" t="s">
        <v>14</v>
      </c>
      <c r="I17" s="15" t="s">
        <v>67</v>
      </c>
      <c r="J17" s="4" t="s">
        <v>68</v>
      </c>
    </row>
    <row r="18" ht="22.5" customHeight="1">
      <c r="A18" s="12" t="s">
        <v>69</v>
      </c>
      <c r="B18" s="12" t="s">
        <v>43</v>
      </c>
      <c r="C18" s="10" t="s">
        <v>12</v>
      </c>
      <c r="D18" s="13">
        <v>1.0</v>
      </c>
      <c r="E18" s="9" t="s">
        <v>22</v>
      </c>
      <c r="F18" s="9">
        <v>10.0</v>
      </c>
      <c r="G18" s="9">
        <f t="shared" si="1"/>
        <v>10</v>
      </c>
      <c r="H18" s="10" t="s">
        <v>14</v>
      </c>
      <c r="I18" s="17" t="s">
        <v>70</v>
      </c>
      <c r="J18" s="4" t="s">
        <v>71</v>
      </c>
    </row>
    <row r="19" ht="22.5" customHeight="1">
      <c r="A19" s="12" t="s">
        <v>72</v>
      </c>
      <c r="B19" s="12" t="s">
        <v>43</v>
      </c>
      <c r="C19" s="10" t="s">
        <v>12</v>
      </c>
      <c r="D19" s="13">
        <v>1.0</v>
      </c>
      <c r="E19" s="14" t="s">
        <v>22</v>
      </c>
      <c r="F19" s="9">
        <v>38.0</v>
      </c>
      <c r="G19" s="9">
        <f t="shared" si="1"/>
        <v>38</v>
      </c>
      <c r="H19" s="10" t="s">
        <v>14</v>
      </c>
      <c r="I19" s="17" t="s">
        <v>73</v>
      </c>
      <c r="J19" s="4" t="s">
        <v>74</v>
      </c>
    </row>
    <row r="20" ht="22.5" customHeight="1">
      <c r="A20" s="12" t="s">
        <v>75</v>
      </c>
      <c r="B20" s="12" t="s">
        <v>43</v>
      </c>
      <c r="C20" s="10" t="s">
        <v>12</v>
      </c>
      <c r="D20" s="13">
        <v>1.0</v>
      </c>
      <c r="E20" s="9" t="s">
        <v>13</v>
      </c>
      <c r="F20" s="9">
        <v>90.0</v>
      </c>
      <c r="G20" s="9">
        <f t="shared" si="1"/>
        <v>90</v>
      </c>
      <c r="H20" s="10" t="s">
        <v>14</v>
      </c>
      <c r="I20" s="15" t="s">
        <v>76</v>
      </c>
      <c r="J20" s="4" t="s">
        <v>77</v>
      </c>
    </row>
    <row r="21" ht="22.5" customHeight="1">
      <c r="A21" s="12" t="s">
        <v>78</v>
      </c>
      <c r="B21" s="12" t="s">
        <v>43</v>
      </c>
      <c r="C21" s="10" t="s">
        <v>12</v>
      </c>
      <c r="D21" s="13">
        <v>1.0</v>
      </c>
      <c r="E21" s="14" t="s">
        <v>22</v>
      </c>
      <c r="F21" s="9">
        <v>30.0</v>
      </c>
      <c r="G21" s="9">
        <f t="shared" si="1"/>
        <v>30</v>
      </c>
      <c r="H21" s="10" t="s">
        <v>14</v>
      </c>
      <c r="I21" s="17" t="s">
        <v>79</v>
      </c>
      <c r="J21" s="4" t="s">
        <v>80</v>
      </c>
    </row>
    <row r="22" ht="22.5" customHeight="1">
      <c r="A22" s="12" t="s">
        <v>81</v>
      </c>
      <c r="B22" s="14" t="s">
        <v>43</v>
      </c>
      <c r="C22" s="10" t="s">
        <v>12</v>
      </c>
      <c r="D22" s="13">
        <v>1.0</v>
      </c>
      <c r="E22" s="14" t="s">
        <v>22</v>
      </c>
      <c r="F22" s="9">
        <v>14.0</v>
      </c>
      <c r="G22" s="9">
        <f t="shared" si="1"/>
        <v>14</v>
      </c>
      <c r="H22" s="10" t="s">
        <v>14</v>
      </c>
      <c r="I22" s="17" t="s">
        <v>82</v>
      </c>
      <c r="J22" s="4" t="s">
        <v>83</v>
      </c>
    </row>
    <row r="23" ht="22.5" customHeight="1">
      <c r="A23" s="12" t="s">
        <v>84</v>
      </c>
      <c r="B23" s="12" t="s">
        <v>43</v>
      </c>
      <c r="C23" s="10" t="s">
        <v>12</v>
      </c>
      <c r="D23" s="13">
        <v>1.0</v>
      </c>
      <c r="E23" s="14" t="s">
        <v>13</v>
      </c>
      <c r="F23" s="9">
        <v>42.0</v>
      </c>
      <c r="G23" s="9">
        <f t="shared" si="1"/>
        <v>42</v>
      </c>
      <c r="H23" s="10" t="s">
        <v>14</v>
      </c>
      <c r="I23" s="17" t="s">
        <v>85</v>
      </c>
      <c r="J23" s="4" t="s">
        <v>86</v>
      </c>
    </row>
    <row r="24" ht="22.5" customHeight="1">
      <c r="A24" s="12" t="s">
        <v>87</v>
      </c>
      <c r="B24" s="12" t="s">
        <v>43</v>
      </c>
      <c r="C24" s="10" t="s">
        <v>12</v>
      </c>
      <c r="D24" s="13">
        <v>1.0</v>
      </c>
      <c r="E24" s="14" t="s">
        <v>13</v>
      </c>
      <c r="F24" s="9">
        <v>35.0</v>
      </c>
      <c r="G24" s="9">
        <f t="shared" si="1"/>
        <v>35</v>
      </c>
      <c r="H24" s="10" t="s">
        <v>14</v>
      </c>
      <c r="I24" s="17" t="s">
        <v>88</v>
      </c>
      <c r="J24" s="4" t="s">
        <v>89</v>
      </c>
    </row>
    <row r="25" ht="22.5" customHeight="1">
      <c r="A25" s="12" t="s">
        <v>90</v>
      </c>
      <c r="B25" s="12" t="s">
        <v>43</v>
      </c>
      <c r="C25" s="10" t="s">
        <v>12</v>
      </c>
      <c r="D25" s="13">
        <v>1.0</v>
      </c>
      <c r="E25" s="9" t="s">
        <v>22</v>
      </c>
      <c r="F25" s="9">
        <v>11.0</v>
      </c>
      <c r="G25" s="9">
        <f t="shared" si="1"/>
        <v>11</v>
      </c>
      <c r="H25" s="10" t="s">
        <v>14</v>
      </c>
      <c r="I25" s="15" t="s">
        <v>91</v>
      </c>
      <c r="J25" s="4" t="s">
        <v>92</v>
      </c>
    </row>
    <row r="26" ht="22.5" customHeight="1">
      <c r="A26" s="12" t="s">
        <v>93</v>
      </c>
      <c r="B26" s="12" t="s">
        <v>43</v>
      </c>
      <c r="C26" s="10" t="s">
        <v>12</v>
      </c>
      <c r="D26" s="13">
        <v>1.0</v>
      </c>
      <c r="E26" s="14" t="s">
        <v>22</v>
      </c>
      <c r="F26" s="9">
        <v>16.0</v>
      </c>
      <c r="G26" s="9">
        <f t="shared" si="1"/>
        <v>16</v>
      </c>
      <c r="H26" s="10" t="s">
        <v>14</v>
      </c>
      <c r="I26" s="17" t="s">
        <v>94</v>
      </c>
      <c r="J26" s="4" t="s">
        <v>95</v>
      </c>
    </row>
    <row r="27" ht="22.5" customHeight="1">
      <c r="A27" s="4" t="s">
        <v>96</v>
      </c>
      <c r="B27" s="4" t="s">
        <v>43</v>
      </c>
      <c r="C27" s="6" t="s">
        <v>12</v>
      </c>
      <c r="D27" s="7">
        <v>1.0</v>
      </c>
      <c r="E27" s="5" t="s">
        <v>22</v>
      </c>
      <c r="F27" s="8">
        <v>10.0</v>
      </c>
      <c r="G27" s="9">
        <f t="shared" si="1"/>
        <v>10</v>
      </c>
      <c r="H27" s="10" t="s">
        <v>14</v>
      </c>
      <c r="I27" s="18" t="s">
        <v>97</v>
      </c>
      <c r="J27" s="4" t="s">
        <v>98</v>
      </c>
    </row>
    <row r="28" ht="22.5" customHeight="1">
      <c r="A28" s="12" t="s">
        <v>99</v>
      </c>
      <c r="B28" s="12" t="s">
        <v>43</v>
      </c>
      <c r="C28" s="10" t="s">
        <v>12</v>
      </c>
      <c r="D28" s="13">
        <v>1.0</v>
      </c>
      <c r="E28" s="9" t="s">
        <v>13</v>
      </c>
      <c r="F28" s="9">
        <v>49.0</v>
      </c>
      <c r="G28" s="9">
        <f t="shared" si="1"/>
        <v>49</v>
      </c>
      <c r="H28" s="10" t="s">
        <v>14</v>
      </c>
      <c r="I28" s="15" t="s">
        <v>100</v>
      </c>
      <c r="J28" s="4" t="s">
        <v>101</v>
      </c>
    </row>
    <row r="29" ht="22.5" customHeight="1">
      <c r="A29" s="12" t="s">
        <v>102</v>
      </c>
      <c r="B29" s="12" t="s">
        <v>43</v>
      </c>
      <c r="C29" s="10" t="s">
        <v>12</v>
      </c>
      <c r="D29" s="13">
        <v>1.0</v>
      </c>
      <c r="E29" s="14" t="s">
        <v>13</v>
      </c>
      <c r="F29" s="9">
        <v>8.0</v>
      </c>
      <c r="G29" s="9">
        <f t="shared" si="1"/>
        <v>8</v>
      </c>
      <c r="H29" s="10" t="s">
        <v>14</v>
      </c>
      <c r="I29" s="17" t="s">
        <v>103</v>
      </c>
      <c r="J29" s="12" t="s">
        <v>104</v>
      </c>
    </row>
    <row r="30" ht="22.5" customHeight="1">
      <c r="A30" s="12" t="s">
        <v>105</v>
      </c>
      <c r="B30" s="12" t="s">
        <v>43</v>
      </c>
      <c r="C30" s="10" t="s">
        <v>12</v>
      </c>
      <c r="D30" s="13">
        <v>1.0</v>
      </c>
      <c r="E30" s="9" t="s">
        <v>13</v>
      </c>
      <c r="F30" s="9">
        <v>20.0</v>
      </c>
      <c r="G30" s="9">
        <f t="shared" si="1"/>
        <v>20</v>
      </c>
      <c r="H30" s="10" t="s">
        <v>14</v>
      </c>
      <c r="I30" s="16" t="s">
        <v>106</v>
      </c>
      <c r="J30" s="4" t="s">
        <v>107</v>
      </c>
    </row>
    <row r="31" ht="22.5" customHeight="1">
      <c r="A31" s="12" t="s">
        <v>108</v>
      </c>
      <c r="B31" s="12" t="s">
        <v>43</v>
      </c>
      <c r="C31" s="10" t="s">
        <v>12</v>
      </c>
      <c r="D31" s="13">
        <v>1.0</v>
      </c>
      <c r="E31" s="9" t="s">
        <v>22</v>
      </c>
      <c r="F31" s="9">
        <v>8.0</v>
      </c>
      <c r="G31" s="9">
        <f t="shared" si="1"/>
        <v>8</v>
      </c>
      <c r="H31" s="10" t="s">
        <v>14</v>
      </c>
      <c r="I31" s="16" t="s">
        <v>109</v>
      </c>
      <c r="J31" s="4" t="s">
        <v>110</v>
      </c>
    </row>
    <row r="32" ht="22.5" customHeight="1">
      <c r="A32" s="12" t="s">
        <v>111</v>
      </c>
      <c r="B32" s="12" t="s">
        <v>43</v>
      </c>
      <c r="C32" s="10" t="s">
        <v>112</v>
      </c>
      <c r="D32" s="13">
        <v>1.0</v>
      </c>
      <c r="E32" s="9" t="s">
        <v>26</v>
      </c>
      <c r="F32" s="9">
        <v>8.0</v>
      </c>
      <c r="G32" s="9">
        <f t="shared" si="1"/>
        <v>8</v>
      </c>
      <c r="H32" s="10" t="s">
        <v>14</v>
      </c>
      <c r="I32" s="15" t="s">
        <v>113</v>
      </c>
      <c r="J32" s="4" t="s">
        <v>114</v>
      </c>
    </row>
    <row r="33" ht="22.5" customHeight="1">
      <c r="A33" s="12" t="s">
        <v>115</v>
      </c>
      <c r="B33" s="12" t="s">
        <v>43</v>
      </c>
      <c r="C33" s="10" t="s">
        <v>12</v>
      </c>
      <c r="D33" s="13">
        <v>2.0</v>
      </c>
      <c r="E33" s="9" t="s">
        <v>13</v>
      </c>
      <c r="F33" s="9">
        <v>25.0</v>
      </c>
      <c r="G33" s="9">
        <f t="shared" si="1"/>
        <v>50</v>
      </c>
      <c r="H33" s="10" t="s">
        <v>14</v>
      </c>
      <c r="I33" s="17" t="s">
        <v>116</v>
      </c>
      <c r="J33" s="4" t="s">
        <v>117</v>
      </c>
    </row>
    <row r="34" ht="22.5" customHeight="1">
      <c r="A34" s="12" t="s">
        <v>118</v>
      </c>
      <c r="B34" s="12" t="s">
        <v>43</v>
      </c>
      <c r="C34" s="10" t="s">
        <v>12</v>
      </c>
      <c r="D34" s="13">
        <v>1.0</v>
      </c>
      <c r="E34" s="9" t="s">
        <v>13</v>
      </c>
      <c r="F34" s="9">
        <v>33.0</v>
      </c>
      <c r="G34" s="9">
        <f t="shared" si="1"/>
        <v>33</v>
      </c>
      <c r="H34" s="10" t="s">
        <v>14</v>
      </c>
      <c r="I34" s="17" t="s">
        <v>119</v>
      </c>
      <c r="J34" s="4" t="s">
        <v>120</v>
      </c>
    </row>
    <row r="35" ht="22.5" customHeight="1">
      <c r="A35" s="12" t="s">
        <v>121</v>
      </c>
      <c r="B35" s="12" t="s">
        <v>43</v>
      </c>
      <c r="C35" s="10" t="s">
        <v>12</v>
      </c>
      <c r="D35" s="13">
        <v>1.0</v>
      </c>
      <c r="E35" s="9" t="s">
        <v>13</v>
      </c>
      <c r="F35" s="9">
        <v>8.0</v>
      </c>
      <c r="G35" s="9">
        <f t="shared" si="1"/>
        <v>8</v>
      </c>
      <c r="H35" s="10" t="s">
        <v>14</v>
      </c>
      <c r="I35" s="16" t="s">
        <v>122</v>
      </c>
      <c r="J35" s="4" t="s">
        <v>123</v>
      </c>
    </row>
    <row r="36" ht="22.5" customHeight="1">
      <c r="A36" s="12" t="s">
        <v>124</v>
      </c>
      <c r="B36" s="12" t="s">
        <v>125</v>
      </c>
      <c r="C36" s="10" t="s">
        <v>112</v>
      </c>
      <c r="D36" s="13">
        <v>1.0</v>
      </c>
      <c r="E36" s="9" t="s">
        <v>22</v>
      </c>
      <c r="F36" s="9">
        <v>6.0</v>
      </c>
      <c r="G36" s="9">
        <f t="shared" si="1"/>
        <v>6</v>
      </c>
      <c r="H36" s="10" t="s">
        <v>14</v>
      </c>
      <c r="I36" s="15" t="s">
        <v>126</v>
      </c>
      <c r="J36" s="4" t="s">
        <v>127</v>
      </c>
    </row>
    <row r="37" ht="22.5" customHeight="1">
      <c r="A37" s="12" t="s">
        <v>128</v>
      </c>
      <c r="B37" s="12" t="s">
        <v>129</v>
      </c>
      <c r="C37" s="10" t="s">
        <v>12</v>
      </c>
      <c r="D37" s="13">
        <v>1.0</v>
      </c>
      <c r="E37" s="14" t="s">
        <v>22</v>
      </c>
      <c r="F37" s="9">
        <v>220.0</v>
      </c>
      <c r="G37" s="9">
        <f t="shared" si="1"/>
        <v>220</v>
      </c>
      <c r="H37" s="10" t="s">
        <v>14</v>
      </c>
      <c r="I37" s="17" t="s">
        <v>130</v>
      </c>
      <c r="J37" s="4" t="s">
        <v>131</v>
      </c>
    </row>
    <row r="38" ht="22.5" customHeight="1">
      <c r="A38" s="12" t="s">
        <v>132</v>
      </c>
      <c r="B38" s="12" t="s">
        <v>133</v>
      </c>
      <c r="C38" s="10" t="s">
        <v>12</v>
      </c>
      <c r="D38" s="13">
        <v>1.0</v>
      </c>
      <c r="E38" s="9" t="s">
        <v>26</v>
      </c>
      <c r="F38" s="9">
        <v>13.0</v>
      </c>
      <c r="G38" s="9">
        <f t="shared" si="1"/>
        <v>13</v>
      </c>
      <c r="H38" s="10" t="s">
        <v>14</v>
      </c>
      <c r="I38" s="15" t="s">
        <v>134</v>
      </c>
      <c r="J38" s="4" t="s">
        <v>135</v>
      </c>
    </row>
    <row r="39" ht="22.5" customHeight="1">
      <c r="A39" s="12" t="s">
        <v>136</v>
      </c>
      <c r="B39" s="12" t="s">
        <v>133</v>
      </c>
      <c r="C39" s="10" t="s">
        <v>12</v>
      </c>
      <c r="D39" s="13">
        <v>2.0</v>
      </c>
      <c r="E39" s="9" t="s">
        <v>13</v>
      </c>
      <c r="F39" s="9">
        <v>10.0</v>
      </c>
      <c r="G39" s="9">
        <f t="shared" si="1"/>
        <v>20</v>
      </c>
      <c r="H39" s="10" t="s">
        <v>14</v>
      </c>
      <c r="I39" s="15" t="s">
        <v>137</v>
      </c>
      <c r="J39" s="4" t="s">
        <v>138</v>
      </c>
    </row>
    <row r="40" ht="22.5" customHeight="1">
      <c r="A40" s="12" t="s">
        <v>139</v>
      </c>
      <c r="B40" s="12" t="s">
        <v>133</v>
      </c>
      <c r="C40" s="10" t="s">
        <v>112</v>
      </c>
      <c r="D40" s="13">
        <v>1.0</v>
      </c>
      <c r="E40" s="9" t="s">
        <v>22</v>
      </c>
      <c r="F40" s="9">
        <v>7.0</v>
      </c>
      <c r="G40" s="9">
        <f t="shared" si="1"/>
        <v>7</v>
      </c>
      <c r="H40" s="10" t="s">
        <v>14</v>
      </c>
      <c r="I40" s="15" t="s">
        <v>140</v>
      </c>
      <c r="J40" s="4" t="s">
        <v>141</v>
      </c>
    </row>
    <row r="41" ht="22.5" customHeight="1">
      <c r="A41" s="12" t="s">
        <v>142</v>
      </c>
      <c r="B41" s="12" t="s">
        <v>133</v>
      </c>
      <c r="C41" s="10" t="s">
        <v>12</v>
      </c>
      <c r="D41" s="13">
        <v>1.0</v>
      </c>
      <c r="E41" s="9" t="s">
        <v>22</v>
      </c>
      <c r="F41" s="9">
        <v>8.0</v>
      </c>
      <c r="G41" s="9">
        <f t="shared" si="1"/>
        <v>8</v>
      </c>
      <c r="H41" s="10" t="s">
        <v>14</v>
      </c>
      <c r="I41" s="15" t="s">
        <v>143</v>
      </c>
      <c r="J41" s="4" t="s">
        <v>144</v>
      </c>
    </row>
    <row r="42" ht="22.5" customHeight="1">
      <c r="A42" s="12" t="s">
        <v>145</v>
      </c>
      <c r="B42" s="12" t="s">
        <v>133</v>
      </c>
      <c r="C42" s="10" t="s">
        <v>12</v>
      </c>
      <c r="D42" s="13">
        <v>1.0</v>
      </c>
      <c r="E42" s="9" t="s">
        <v>13</v>
      </c>
      <c r="F42" s="9">
        <v>8.0</v>
      </c>
      <c r="G42" s="9">
        <f t="shared" si="1"/>
        <v>8</v>
      </c>
      <c r="H42" s="10" t="s">
        <v>14</v>
      </c>
      <c r="I42" s="16" t="s">
        <v>146</v>
      </c>
      <c r="J42" s="4" t="s">
        <v>147</v>
      </c>
    </row>
    <row r="43" ht="22.5" customHeight="1">
      <c r="A43" s="12" t="s">
        <v>148</v>
      </c>
      <c r="B43" s="12" t="s">
        <v>133</v>
      </c>
      <c r="C43" s="10" t="s">
        <v>12</v>
      </c>
      <c r="D43" s="13">
        <v>1.0</v>
      </c>
      <c r="E43" s="9" t="s">
        <v>26</v>
      </c>
      <c r="F43" s="9">
        <v>20.0</v>
      </c>
      <c r="G43" s="9">
        <f t="shared" si="1"/>
        <v>20</v>
      </c>
      <c r="H43" s="10" t="s">
        <v>14</v>
      </c>
      <c r="I43" s="15" t="s">
        <v>149</v>
      </c>
      <c r="J43" s="4" t="s">
        <v>150</v>
      </c>
    </row>
    <row r="44" ht="22.5" customHeight="1">
      <c r="A44" s="12" t="s">
        <v>151</v>
      </c>
      <c r="B44" s="12" t="s">
        <v>133</v>
      </c>
      <c r="C44" s="10" t="s">
        <v>12</v>
      </c>
      <c r="D44" s="13">
        <v>1.0</v>
      </c>
      <c r="E44" s="14" t="s">
        <v>26</v>
      </c>
      <c r="F44" s="9">
        <v>10.0</v>
      </c>
      <c r="G44" s="9">
        <f t="shared" si="1"/>
        <v>10</v>
      </c>
      <c r="H44" s="10" t="s">
        <v>14</v>
      </c>
      <c r="I44" s="16" t="s">
        <v>152</v>
      </c>
      <c r="J44" s="4" t="s">
        <v>153</v>
      </c>
    </row>
    <row r="45" ht="22.5" customHeight="1">
      <c r="A45" s="12" t="s">
        <v>154</v>
      </c>
      <c r="B45" s="12" t="s">
        <v>133</v>
      </c>
      <c r="C45" s="10" t="s">
        <v>12</v>
      </c>
      <c r="D45" s="13">
        <v>1.0</v>
      </c>
      <c r="E45" s="9" t="s">
        <v>26</v>
      </c>
      <c r="F45" s="9">
        <v>10.0</v>
      </c>
      <c r="G45" s="9">
        <f t="shared" si="1"/>
        <v>10</v>
      </c>
      <c r="H45" s="10" t="s">
        <v>14</v>
      </c>
      <c r="I45" s="17" t="s">
        <v>155</v>
      </c>
      <c r="J45" s="4" t="s">
        <v>156</v>
      </c>
    </row>
    <row r="46" ht="22.5" customHeight="1">
      <c r="A46" s="12" t="s">
        <v>157</v>
      </c>
      <c r="B46" s="12" t="s">
        <v>133</v>
      </c>
      <c r="C46" s="10" t="s">
        <v>12</v>
      </c>
      <c r="D46" s="13">
        <v>1.0</v>
      </c>
      <c r="E46" s="9" t="s">
        <v>22</v>
      </c>
      <c r="F46" s="9">
        <v>21.0</v>
      </c>
      <c r="G46" s="9">
        <f t="shared" si="1"/>
        <v>21</v>
      </c>
      <c r="H46" s="10" t="s">
        <v>14</v>
      </c>
      <c r="I46" s="17" t="s">
        <v>158</v>
      </c>
      <c r="J46" s="4" t="s">
        <v>159</v>
      </c>
    </row>
    <row r="47" ht="22.5" customHeight="1">
      <c r="A47" s="12" t="s">
        <v>160</v>
      </c>
      <c r="B47" s="12" t="s">
        <v>133</v>
      </c>
      <c r="C47" s="10" t="s">
        <v>12</v>
      </c>
      <c r="D47" s="13">
        <v>1.0</v>
      </c>
      <c r="E47" s="14" t="s">
        <v>22</v>
      </c>
      <c r="F47" s="9">
        <v>8.0</v>
      </c>
      <c r="G47" s="9">
        <f t="shared" si="1"/>
        <v>8</v>
      </c>
      <c r="H47" s="10" t="s">
        <v>14</v>
      </c>
      <c r="I47" s="16" t="s">
        <v>161</v>
      </c>
      <c r="J47" s="4" t="s">
        <v>162</v>
      </c>
    </row>
    <row r="48" ht="22.5" customHeight="1">
      <c r="A48" s="12" t="s">
        <v>163</v>
      </c>
      <c r="B48" s="12" t="s">
        <v>133</v>
      </c>
      <c r="C48" s="10" t="s">
        <v>12</v>
      </c>
      <c r="D48" s="13">
        <v>1.0</v>
      </c>
      <c r="E48" s="14" t="s">
        <v>13</v>
      </c>
      <c r="F48" s="9">
        <v>25.0</v>
      </c>
      <c r="G48" s="9">
        <f t="shared" si="1"/>
        <v>25</v>
      </c>
      <c r="H48" s="10" t="s">
        <v>14</v>
      </c>
      <c r="I48" s="16" t="s">
        <v>164</v>
      </c>
      <c r="J48" s="4" t="s">
        <v>165</v>
      </c>
    </row>
    <row r="49" ht="22.5" customHeight="1">
      <c r="A49" s="12" t="s">
        <v>166</v>
      </c>
      <c r="B49" s="12" t="s">
        <v>133</v>
      </c>
      <c r="C49" s="10" t="s">
        <v>12</v>
      </c>
      <c r="D49" s="13">
        <v>1.0</v>
      </c>
      <c r="E49" s="9" t="s">
        <v>13</v>
      </c>
      <c r="F49" s="9">
        <v>15.0</v>
      </c>
      <c r="G49" s="9">
        <f t="shared" si="1"/>
        <v>15</v>
      </c>
      <c r="H49" s="10" t="s">
        <v>14</v>
      </c>
      <c r="I49" s="15" t="s">
        <v>167</v>
      </c>
      <c r="J49" s="4" t="s">
        <v>168</v>
      </c>
    </row>
    <row r="50" ht="22.5" customHeight="1">
      <c r="A50" s="19" t="s">
        <v>169</v>
      </c>
      <c r="B50" s="12" t="s">
        <v>133</v>
      </c>
      <c r="C50" s="10" t="s">
        <v>12</v>
      </c>
      <c r="D50" s="13">
        <v>1.0</v>
      </c>
      <c r="E50" s="14" t="s">
        <v>22</v>
      </c>
      <c r="F50" s="9">
        <v>22.0</v>
      </c>
      <c r="G50" s="9">
        <f t="shared" si="1"/>
        <v>22</v>
      </c>
      <c r="H50" s="10" t="s">
        <v>14</v>
      </c>
      <c r="I50" s="17" t="s">
        <v>170</v>
      </c>
      <c r="J50" s="4" t="s">
        <v>171</v>
      </c>
    </row>
    <row r="51" ht="22.5" customHeight="1">
      <c r="A51" s="12" t="s">
        <v>172</v>
      </c>
      <c r="B51" s="12" t="s">
        <v>133</v>
      </c>
      <c r="C51" s="10" t="s">
        <v>12</v>
      </c>
      <c r="D51" s="13">
        <v>1.0</v>
      </c>
      <c r="E51" s="14" t="s">
        <v>13</v>
      </c>
      <c r="F51" s="9">
        <v>24.0</v>
      </c>
      <c r="G51" s="9">
        <f t="shared" si="1"/>
        <v>24</v>
      </c>
      <c r="H51" s="10" t="s">
        <v>14</v>
      </c>
      <c r="I51" s="16" t="s">
        <v>173</v>
      </c>
      <c r="J51" s="4" t="s">
        <v>174</v>
      </c>
    </row>
    <row r="52" ht="22.5" customHeight="1">
      <c r="A52" s="12" t="s">
        <v>175</v>
      </c>
      <c r="B52" s="14" t="s">
        <v>133</v>
      </c>
      <c r="C52" s="10" t="s">
        <v>12</v>
      </c>
      <c r="D52" s="13">
        <v>1.0</v>
      </c>
      <c r="E52" s="9" t="s">
        <v>22</v>
      </c>
      <c r="F52" s="9">
        <v>23.0</v>
      </c>
      <c r="G52" s="9">
        <f t="shared" si="1"/>
        <v>23</v>
      </c>
      <c r="H52" s="10" t="s">
        <v>14</v>
      </c>
      <c r="I52" s="15" t="s">
        <v>176</v>
      </c>
      <c r="J52" s="4" t="s">
        <v>177</v>
      </c>
    </row>
    <row r="53" ht="22.5" customHeight="1">
      <c r="A53" s="12" t="s">
        <v>178</v>
      </c>
      <c r="B53" s="12" t="s">
        <v>133</v>
      </c>
      <c r="C53" s="10" t="s">
        <v>12</v>
      </c>
      <c r="D53" s="13">
        <v>1.0</v>
      </c>
      <c r="E53" s="9" t="s">
        <v>13</v>
      </c>
      <c r="F53" s="9">
        <v>77.0</v>
      </c>
      <c r="G53" s="9">
        <f t="shared" si="1"/>
        <v>77</v>
      </c>
      <c r="H53" s="10" t="s">
        <v>14</v>
      </c>
      <c r="I53" s="17" t="s">
        <v>179</v>
      </c>
      <c r="J53" s="4" t="s">
        <v>180</v>
      </c>
    </row>
    <row r="54" ht="22.5" customHeight="1">
      <c r="A54" s="12" t="s">
        <v>181</v>
      </c>
      <c r="B54" s="12" t="s">
        <v>133</v>
      </c>
      <c r="C54" s="10" t="s">
        <v>12</v>
      </c>
      <c r="D54" s="13">
        <v>1.0</v>
      </c>
      <c r="E54" s="14" t="s">
        <v>22</v>
      </c>
      <c r="F54" s="9">
        <v>24.0</v>
      </c>
      <c r="G54" s="9">
        <f t="shared" si="1"/>
        <v>24</v>
      </c>
      <c r="H54" s="10" t="s">
        <v>14</v>
      </c>
      <c r="I54" s="17" t="s">
        <v>182</v>
      </c>
      <c r="J54" s="4" t="s">
        <v>183</v>
      </c>
    </row>
    <row r="55" ht="22.5" customHeight="1">
      <c r="A55" s="12" t="s">
        <v>184</v>
      </c>
      <c r="B55" s="12" t="s">
        <v>133</v>
      </c>
      <c r="C55" s="10" t="s">
        <v>12</v>
      </c>
      <c r="D55" s="13">
        <v>1.0</v>
      </c>
      <c r="E55" s="9" t="s">
        <v>22</v>
      </c>
      <c r="F55" s="9">
        <v>7.0</v>
      </c>
      <c r="G55" s="9">
        <f t="shared" si="1"/>
        <v>7</v>
      </c>
      <c r="H55" s="10" t="s">
        <v>14</v>
      </c>
      <c r="I55" s="16" t="s">
        <v>185</v>
      </c>
      <c r="J55" s="4" t="s">
        <v>186</v>
      </c>
    </row>
    <row r="56" ht="22.5" customHeight="1">
      <c r="A56" s="12" t="s">
        <v>187</v>
      </c>
      <c r="B56" s="12" t="s">
        <v>133</v>
      </c>
      <c r="C56" s="10" t="s">
        <v>12</v>
      </c>
      <c r="D56" s="13">
        <v>1.0</v>
      </c>
      <c r="E56" s="9" t="s">
        <v>22</v>
      </c>
      <c r="F56" s="9">
        <v>10.0</v>
      </c>
      <c r="G56" s="9">
        <f t="shared" si="1"/>
        <v>10</v>
      </c>
      <c r="H56" s="10" t="s">
        <v>14</v>
      </c>
      <c r="I56" s="15" t="s">
        <v>188</v>
      </c>
      <c r="J56" s="4" t="s">
        <v>189</v>
      </c>
    </row>
    <row r="57" ht="22.5" customHeight="1">
      <c r="A57" s="12" t="s">
        <v>190</v>
      </c>
      <c r="B57" s="12" t="s">
        <v>133</v>
      </c>
      <c r="C57" s="10" t="s">
        <v>12</v>
      </c>
      <c r="D57" s="13">
        <v>1.0</v>
      </c>
      <c r="E57" s="9" t="s">
        <v>22</v>
      </c>
      <c r="F57" s="9">
        <v>7.0</v>
      </c>
      <c r="G57" s="9">
        <f t="shared" si="1"/>
        <v>7</v>
      </c>
      <c r="H57" s="10" t="s">
        <v>14</v>
      </c>
      <c r="I57" s="16" t="s">
        <v>191</v>
      </c>
      <c r="J57" s="4" t="s">
        <v>192</v>
      </c>
    </row>
    <row r="58" ht="22.5" customHeight="1">
      <c r="A58" s="12" t="s">
        <v>193</v>
      </c>
      <c r="B58" s="14" t="s">
        <v>133</v>
      </c>
      <c r="C58" s="10" t="s">
        <v>12</v>
      </c>
      <c r="D58" s="13"/>
      <c r="E58" s="9" t="s">
        <v>22</v>
      </c>
      <c r="F58" s="9">
        <v>8.0</v>
      </c>
      <c r="G58" s="9">
        <f t="shared" si="1"/>
        <v>0</v>
      </c>
      <c r="H58" s="10" t="s">
        <v>14</v>
      </c>
      <c r="I58" s="15" t="s">
        <v>194</v>
      </c>
      <c r="J58" s="20" t="s">
        <v>195</v>
      </c>
    </row>
    <row r="59" ht="22.5" customHeight="1">
      <c r="A59" s="12" t="s">
        <v>196</v>
      </c>
      <c r="B59" s="12" t="s">
        <v>133</v>
      </c>
      <c r="C59" s="10" t="s">
        <v>12</v>
      </c>
      <c r="D59" s="13">
        <v>1.0</v>
      </c>
      <c r="E59" s="9" t="s">
        <v>13</v>
      </c>
      <c r="F59" s="9">
        <v>26.0</v>
      </c>
      <c r="G59" s="9">
        <f t="shared" si="1"/>
        <v>26</v>
      </c>
      <c r="H59" s="10" t="s">
        <v>14</v>
      </c>
      <c r="I59" s="15" t="s">
        <v>197</v>
      </c>
      <c r="J59" s="4" t="s">
        <v>198</v>
      </c>
    </row>
    <row r="60" ht="22.5" customHeight="1">
      <c r="A60" s="12" t="s">
        <v>199</v>
      </c>
      <c r="B60" s="12" t="s">
        <v>133</v>
      </c>
      <c r="C60" s="10" t="s">
        <v>12</v>
      </c>
      <c r="D60" s="13">
        <v>1.0</v>
      </c>
      <c r="E60" s="14" t="s">
        <v>22</v>
      </c>
      <c r="F60" s="9">
        <v>6.0</v>
      </c>
      <c r="G60" s="9">
        <f t="shared" si="1"/>
        <v>6</v>
      </c>
      <c r="H60" s="10" t="s">
        <v>14</v>
      </c>
      <c r="I60" s="17" t="s">
        <v>200</v>
      </c>
      <c r="J60" s="4" t="s">
        <v>201</v>
      </c>
    </row>
    <row r="61" ht="22.5" customHeight="1">
      <c r="A61" s="12" t="s">
        <v>202</v>
      </c>
      <c r="B61" s="12" t="s">
        <v>133</v>
      </c>
      <c r="C61" s="10" t="s">
        <v>12</v>
      </c>
      <c r="D61" s="13">
        <v>1.0</v>
      </c>
      <c r="E61" s="14" t="s">
        <v>22</v>
      </c>
      <c r="F61" s="9">
        <v>8.0</v>
      </c>
      <c r="G61" s="9">
        <f t="shared" si="1"/>
        <v>8</v>
      </c>
      <c r="H61" s="10" t="s">
        <v>14</v>
      </c>
      <c r="I61" s="16" t="s">
        <v>203</v>
      </c>
      <c r="J61" s="4" t="s">
        <v>204</v>
      </c>
    </row>
    <row r="62" ht="22.5" customHeight="1">
      <c r="A62" s="12" t="s">
        <v>205</v>
      </c>
      <c r="B62" s="14" t="s">
        <v>133</v>
      </c>
      <c r="C62" s="10" t="s">
        <v>12</v>
      </c>
      <c r="D62" s="13">
        <v>1.0</v>
      </c>
      <c r="E62" s="14" t="s">
        <v>22</v>
      </c>
      <c r="F62" s="9">
        <v>15.0</v>
      </c>
      <c r="G62" s="9">
        <f t="shared" si="1"/>
        <v>15</v>
      </c>
      <c r="H62" s="10" t="s">
        <v>14</v>
      </c>
      <c r="I62" s="16" t="s">
        <v>206</v>
      </c>
      <c r="J62" s="4" t="s">
        <v>207</v>
      </c>
    </row>
    <row r="63" ht="22.5" customHeight="1">
      <c r="A63" s="12" t="s">
        <v>208</v>
      </c>
      <c r="B63" s="12" t="s">
        <v>133</v>
      </c>
      <c r="C63" s="10" t="s">
        <v>12</v>
      </c>
      <c r="D63" s="13">
        <v>1.0</v>
      </c>
      <c r="E63" s="9" t="s">
        <v>13</v>
      </c>
      <c r="F63" s="9">
        <v>25.0</v>
      </c>
      <c r="G63" s="9">
        <f t="shared" si="1"/>
        <v>25</v>
      </c>
      <c r="H63" s="10" t="s">
        <v>14</v>
      </c>
      <c r="I63" s="15" t="s">
        <v>209</v>
      </c>
      <c r="J63" s="4" t="s">
        <v>210</v>
      </c>
    </row>
    <row r="64" ht="22.5" customHeight="1">
      <c r="A64" s="12" t="s">
        <v>211</v>
      </c>
      <c r="B64" s="12" t="s">
        <v>133</v>
      </c>
      <c r="C64" s="10" t="s">
        <v>12</v>
      </c>
      <c r="D64" s="13">
        <v>1.0</v>
      </c>
      <c r="E64" s="9" t="s">
        <v>22</v>
      </c>
      <c r="F64" s="9">
        <v>8.0</v>
      </c>
      <c r="G64" s="9">
        <f t="shared" si="1"/>
        <v>8</v>
      </c>
      <c r="H64" s="10" t="s">
        <v>14</v>
      </c>
      <c r="I64" s="15" t="s">
        <v>212</v>
      </c>
      <c r="J64" s="4" t="s">
        <v>213</v>
      </c>
    </row>
    <row r="65" ht="22.5" customHeight="1">
      <c r="A65" s="4" t="s">
        <v>214</v>
      </c>
      <c r="B65" s="4" t="s">
        <v>133</v>
      </c>
      <c r="C65" s="6" t="s">
        <v>12</v>
      </c>
      <c r="D65" s="7">
        <v>1.0</v>
      </c>
      <c r="E65" s="8" t="s">
        <v>22</v>
      </c>
      <c r="F65" s="8">
        <v>8.0</v>
      </c>
      <c r="G65" s="9">
        <f t="shared" si="1"/>
        <v>8</v>
      </c>
      <c r="H65" s="10" t="s">
        <v>14</v>
      </c>
      <c r="I65" s="11" t="s">
        <v>215</v>
      </c>
      <c r="J65" s="4" t="s">
        <v>216</v>
      </c>
    </row>
    <row r="66" ht="22.5" customHeight="1">
      <c r="A66" s="12" t="s">
        <v>217</v>
      </c>
      <c r="B66" s="12" t="s">
        <v>133</v>
      </c>
      <c r="C66" s="10" t="s">
        <v>112</v>
      </c>
      <c r="D66" s="13">
        <v>1.0</v>
      </c>
      <c r="E66" s="9" t="s">
        <v>22</v>
      </c>
      <c r="F66" s="9">
        <v>10.0</v>
      </c>
      <c r="G66" s="9">
        <f t="shared" si="1"/>
        <v>10</v>
      </c>
      <c r="H66" s="10" t="s">
        <v>14</v>
      </c>
      <c r="I66" s="16" t="s">
        <v>218</v>
      </c>
      <c r="J66" s="4" t="s">
        <v>219</v>
      </c>
    </row>
    <row r="67" ht="22.5" customHeight="1">
      <c r="A67" s="12" t="s">
        <v>220</v>
      </c>
      <c r="B67" s="12" t="s">
        <v>133</v>
      </c>
      <c r="C67" s="10" t="s">
        <v>12</v>
      </c>
      <c r="D67" s="13">
        <v>1.0</v>
      </c>
      <c r="E67" s="9" t="s">
        <v>22</v>
      </c>
      <c r="F67" s="9">
        <v>8.0</v>
      </c>
      <c r="G67" s="9">
        <f t="shared" si="1"/>
        <v>8</v>
      </c>
      <c r="H67" s="10" t="s">
        <v>14</v>
      </c>
      <c r="I67" s="16" t="s">
        <v>221</v>
      </c>
      <c r="J67" s="4" t="s">
        <v>222</v>
      </c>
    </row>
    <row r="68" ht="22.5" customHeight="1">
      <c r="A68" s="4" t="s">
        <v>223</v>
      </c>
      <c r="B68" s="4" t="s">
        <v>133</v>
      </c>
      <c r="C68" s="6" t="s">
        <v>12</v>
      </c>
      <c r="D68" s="7">
        <v>1.0</v>
      </c>
      <c r="E68" s="5" t="s">
        <v>22</v>
      </c>
      <c r="F68" s="8">
        <v>15.0</v>
      </c>
      <c r="G68" s="9">
        <f t="shared" si="1"/>
        <v>15</v>
      </c>
      <c r="H68" s="10" t="s">
        <v>14</v>
      </c>
      <c r="I68" s="18" t="s">
        <v>224</v>
      </c>
      <c r="J68" s="4" t="s">
        <v>225</v>
      </c>
    </row>
    <row r="69" ht="22.5" customHeight="1">
      <c r="A69" s="4" t="s">
        <v>226</v>
      </c>
      <c r="B69" s="5" t="s">
        <v>227</v>
      </c>
      <c r="C69" s="6" t="s">
        <v>112</v>
      </c>
      <c r="D69" s="7">
        <v>4.0</v>
      </c>
      <c r="E69" s="5" t="s">
        <v>13</v>
      </c>
      <c r="F69" s="8">
        <v>6.0</v>
      </c>
      <c r="G69" s="9">
        <f t="shared" si="1"/>
        <v>24</v>
      </c>
      <c r="H69" s="10" t="s">
        <v>228</v>
      </c>
      <c r="I69" s="11" t="s">
        <v>229</v>
      </c>
      <c r="J69" s="4" t="s">
        <v>230</v>
      </c>
    </row>
    <row r="70" ht="22.5" customHeight="1">
      <c r="A70" s="4" t="s">
        <v>231</v>
      </c>
      <c r="B70" s="5" t="s">
        <v>227</v>
      </c>
      <c r="C70" s="6" t="s">
        <v>112</v>
      </c>
      <c r="D70" s="7">
        <v>2.0</v>
      </c>
      <c r="E70" s="5" t="s">
        <v>13</v>
      </c>
      <c r="F70" s="8">
        <v>7.0</v>
      </c>
      <c r="G70" s="9">
        <f t="shared" si="1"/>
        <v>14</v>
      </c>
      <c r="H70" s="10" t="s">
        <v>228</v>
      </c>
      <c r="I70" s="11" t="s">
        <v>232</v>
      </c>
      <c r="J70" s="4" t="s">
        <v>233</v>
      </c>
    </row>
    <row r="71" ht="22.5" customHeight="1">
      <c r="A71" s="4" t="s">
        <v>234</v>
      </c>
      <c r="B71" s="5" t="s">
        <v>227</v>
      </c>
      <c r="C71" s="6" t="s">
        <v>112</v>
      </c>
      <c r="D71" s="7">
        <v>1.0</v>
      </c>
      <c r="E71" s="5" t="s">
        <v>13</v>
      </c>
      <c r="F71" s="8">
        <v>7.0</v>
      </c>
      <c r="G71" s="9">
        <f t="shared" si="1"/>
        <v>7</v>
      </c>
      <c r="H71" s="10" t="s">
        <v>228</v>
      </c>
      <c r="I71" s="11" t="s">
        <v>235</v>
      </c>
      <c r="J71" s="4" t="s">
        <v>236</v>
      </c>
    </row>
    <row r="72" ht="22.5" customHeight="1">
      <c r="A72" s="4" t="s">
        <v>237</v>
      </c>
      <c r="B72" s="5" t="s">
        <v>227</v>
      </c>
      <c r="C72" s="6" t="s">
        <v>112</v>
      </c>
      <c r="D72" s="7">
        <v>2.0</v>
      </c>
      <c r="E72" s="5" t="s">
        <v>13</v>
      </c>
      <c r="F72" s="8">
        <v>8.0</v>
      </c>
      <c r="G72" s="9">
        <f t="shared" si="1"/>
        <v>16</v>
      </c>
      <c r="H72" s="10" t="s">
        <v>228</v>
      </c>
      <c r="I72" s="11" t="s">
        <v>238</v>
      </c>
      <c r="J72" s="4" t="s">
        <v>239</v>
      </c>
    </row>
    <row r="73" ht="22.5" customHeight="1">
      <c r="A73" s="4" t="s">
        <v>240</v>
      </c>
      <c r="B73" s="5" t="s">
        <v>43</v>
      </c>
      <c r="C73" s="6" t="s">
        <v>12</v>
      </c>
      <c r="D73" s="7">
        <v>1.0</v>
      </c>
      <c r="E73" s="5" t="s">
        <v>13</v>
      </c>
      <c r="F73" s="8">
        <v>42.0</v>
      </c>
      <c r="G73" s="9">
        <f t="shared" si="1"/>
        <v>42</v>
      </c>
      <c r="H73" s="10" t="s">
        <v>14</v>
      </c>
      <c r="I73" s="11" t="s">
        <v>241</v>
      </c>
      <c r="J73" s="4" t="s">
        <v>242</v>
      </c>
    </row>
    <row r="74" ht="22.5" customHeight="1">
      <c r="A74" s="4" t="s">
        <v>243</v>
      </c>
      <c r="B74" s="5" t="s">
        <v>18</v>
      </c>
      <c r="C74" s="6" t="s">
        <v>12</v>
      </c>
      <c r="D74" s="7">
        <v>1.0</v>
      </c>
      <c r="E74" s="5" t="s">
        <v>13</v>
      </c>
      <c r="F74" s="8">
        <v>6.0</v>
      </c>
      <c r="G74" s="9">
        <f t="shared" si="1"/>
        <v>6</v>
      </c>
      <c r="H74" s="10" t="s">
        <v>14</v>
      </c>
      <c r="I74" s="11" t="s">
        <v>244</v>
      </c>
      <c r="J74" s="4" t="s">
        <v>245</v>
      </c>
    </row>
    <row r="75" ht="22.5" customHeight="1">
      <c r="A75" s="4" t="s">
        <v>246</v>
      </c>
      <c r="B75" s="5" t="s">
        <v>18</v>
      </c>
      <c r="C75" s="6" t="s">
        <v>12</v>
      </c>
      <c r="D75" s="7">
        <v>1.0</v>
      </c>
      <c r="E75" s="5" t="s">
        <v>22</v>
      </c>
      <c r="F75" s="8">
        <v>8.0</v>
      </c>
      <c r="G75" s="9">
        <f t="shared" si="1"/>
        <v>8</v>
      </c>
      <c r="H75" s="10" t="s">
        <v>14</v>
      </c>
      <c r="I75" s="11" t="s">
        <v>247</v>
      </c>
      <c r="J75" s="4" t="s">
        <v>248</v>
      </c>
    </row>
    <row r="76">
      <c r="A76" s="21" t="s">
        <v>249</v>
      </c>
      <c r="B76" s="22">
        <f>SUM(G2:G55)</f>
        <v>1354</v>
      </c>
    </row>
    <row r="77">
      <c r="A77" s="23" t="s">
        <v>250</v>
      </c>
      <c r="B77" s="24">
        <f>SUM(Table1[Net Cost])</f>
        <v>1617</v>
      </c>
    </row>
    <row r="78">
      <c r="A78" s="25" t="s">
        <v>251</v>
      </c>
    </row>
    <row r="80" ht="30.0" customHeight="1"/>
    <row r="81">
      <c r="A81" s="26"/>
      <c r="B81" s="26"/>
    </row>
    <row r="82">
      <c r="A82" s="26"/>
      <c r="B82" s="26"/>
    </row>
  </sheetData>
  <mergeCells count="1">
    <mergeCell ref="A78:B80"/>
  </mergeCells>
  <dataValidations>
    <dataValidation type="list" allowBlank="1" showDropDown="1" showErrorMessage="1" sqref="C2:C75">
      <formula1>"Required,Optional"</formula1>
    </dataValidation>
    <dataValidation type="list" allowBlank="1" sqref="E2:E75">
      <formula1>"Batch,Single,Roll"</formula1>
    </dataValidation>
    <dataValidation type="list" allowBlank="1" sqref="H2:H75">
      <formula1>"Digikey,Amazon,Adafruit,DFRobot,Bambu Labs,Menards"</formula1>
    </dataValidation>
    <dataValidation type="custom" allowBlank="1" showDropDown="1" sqref="D2:D75 F2:F75">
      <formula1>AND(ISNUMBER(D2),(NOT(OR(NOT(ISERROR(DATEVALUE(D2))), AND(ISNUMBER(D2), LEFT(CELL("format", D2))="D")))))</formula1>
    </dataValidation>
    <dataValidation type="list" allowBlank="1" sqref="B2:B75">
      <formula1>"Electronics,Cable,Hardware,Filament,Chemical,Adhesive,Paint"</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s>
  <printOptions gridLines="1" horizontalCentered="1"/>
  <pageMargins bottom="0.75" footer="0.0" header="0.0" left="0.7" right="0.7" top="0.75"/>
  <pageSetup fitToHeight="0" cellComments="atEnd" orientation="landscape" pageOrder="overThenDown"/>
  <drawing r:id="rId75"/>
  <tableParts count="1">
    <tablePart r:id="rId7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13.63"/>
    <col customWidth="1" min="4" max="4" width="37.63"/>
    <col customWidth="1" min="5" max="5" width="15.0"/>
  </cols>
  <sheetData>
    <row r="1" ht="22.5" customHeight="1">
      <c r="A1" s="1" t="s">
        <v>252</v>
      </c>
      <c r="B1" s="2" t="s">
        <v>253</v>
      </c>
      <c r="C1" s="1" t="s">
        <v>5</v>
      </c>
      <c r="D1" s="1" t="s">
        <v>254</v>
      </c>
      <c r="E1" s="1" t="s">
        <v>9</v>
      </c>
    </row>
    <row r="2" ht="22.5" customHeight="1">
      <c r="A2" s="12" t="s">
        <v>255</v>
      </c>
      <c r="B2" s="27" t="s">
        <v>256</v>
      </c>
      <c r="C2" s="9"/>
      <c r="D2" s="28"/>
    </row>
    <row r="3" ht="22.5" customHeight="1">
      <c r="A3" s="12" t="s">
        <v>257</v>
      </c>
      <c r="B3" s="10" t="s">
        <v>258</v>
      </c>
      <c r="C3" s="9">
        <v>52.0</v>
      </c>
      <c r="D3" s="15" t="s">
        <v>259</v>
      </c>
    </row>
    <row r="4" ht="22.5" customHeight="1">
      <c r="A4" s="12" t="s">
        <v>260</v>
      </c>
      <c r="B4" s="10" t="s">
        <v>256</v>
      </c>
      <c r="C4" s="29"/>
      <c r="D4" s="28"/>
    </row>
    <row r="5" ht="22.5" customHeight="1">
      <c r="A5" s="12" t="s">
        <v>261</v>
      </c>
      <c r="B5" s="10" t="s">
        <v>256</v>
      </c>
      <c r="C5" s="29"/>
      <c r="D5" s="28"/>
    </row>
    <row r="6" ht="22.5" customHeight="1">
      <c r="A6" s="12" t="s">
        <v>262</v>
      </c>
      <c r="B6" s="10" t="s">
        <v>256</v>
      </c>
      <c r="C6" s="29"/>
      <c r="D6" s="28"/>
    </row>
    <row r="7" ht="22.5" customHeight="1">
      <c r="A7" s="12" t="s">
        <v>263</v>
      </c>
      <c r="B7" s="30"/>
      <c r="C7" s="29"/>
      <c r="D7" s="28"/>
    </row>
    <row r="8" ht="22.5" customHeight="1">
      <c r="A8" s="12" t="s">
        <v>264</v>
      </c>
      <c r="B8" s="30"/>
      <c r="C8" s="29"/>
      <c r="D8" s="28"/>
    </row>
    <row r="9" ht="22.5" customHeight="1">
      <c r="A9" s="12" t="s">
        <v>265</v>
      </c>
      <c r="B9" s="30"/>
      <c r="C9" s="29"/>
      <c r="D9" s="28"/>
    </row>
    <row r="10" ht="22.5" customHeight="1">
      <c r="A10" s="12" t="s">
        <v>266</v>
      </c>
      <c r="B10" s="10" t="s">
        <v>258</v>
      </c>
      <c r="C10" s="9">
        <v>20.0</v>
      </c>
      <c r="D10" s="15" t="s">
        <v>267</v>
      </c>
      <c r="E10" s="12" t="s">
        <v>268</v>
      </c>
    </row>
    <row r="11" ht="22.5" customHeight="1">
      <c r="A11" s="12" t="s">
        <v>269</v>
      </c>
      <c r="B11" s="10" t="s">
        <v>258</v>
      </c>
      <c r="C11" s="9">
        <v>10.0</v>
      </c>
      <c r="D11" s="15" t="s">
        <v>270</v>
      </c>
      <c r="E11" s="12" t="s">
        <v>271</v>
      </c>
    </row>
    <row r="12" ht="22.5" customHeight="1">
      <c r="A12" s="12" t="s">
        <v>272</v>
      </c>
      <c r="B12" s="10" t="s">
        <v>258</v>
      </c>
      <c r="C12" s="9">
        <v>15.0</v>
      </c>
      <c r="D12" s="15" t="s">
        <v>273</v>
      </c>
      <c r="E12" s="12" t="s">
        <v>274</v>
      </c>
    </row>
    <row r="13" ht="22.5" customHeight="1">
      <c r="A13" s="12" t="s">
        <v>275</v>
      </c>
      <c r="B13" s="27" t="s">
        <v>258</v>
      </c>
      <c r="C13" s="9">
        <v>380.0</v>
      </c>
      <c r="D13" s="15" t="s">
        <v>276</v>
      </c>
      <c r="E13" s="12" t="s">
        <v>277</v>
      </c>
    </row>
  </sheetData>
  <dataValidations>
    <dataValidation type="list" allowBlank="1" sqref="B2:B13">
      <formula1>"Generic,Specific"</formula1>
    </dataValidation>
    <dataValidation type="custom" allowBlank="1" showDropDown="1" sqref="C2:C13">
      <formula1>AND(ISNUMBER(C2),(NOT(OR(NOT(ISERROR(DATEVALUE(C2))), AND(ISNUMBER(C2), LEFT(CELL("format", C2))="D")))))</formula1>
    </dataValidation>
  </dataValidations>
  <hyperlinks>
    <hyperlink r:id="rId1" ref="D3"/>
    <hyperlink r:id="rId2" ref="D10"/>
    <hyperlink r:id="rId3" ref="D11"/>
    <hyperlink r:id="rId4" ref="D12"/>
    <hyperlink r:id="rId5" ref="D13"/>
  </hyperlinks>
  <drawing r:id="rId6"/>
  <tableParts count="1">
    <tablePart r:id="rId8"/>
  </tableParts>
</worksheet>
</file>